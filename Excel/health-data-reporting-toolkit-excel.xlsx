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26a81e47746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0ae162d9deb4f6e"/>
    <x:sheet xmlns:r="http://schemas.openxmlformats.org/officeDocument/2006/relationships" name="Data Entry" sheetId="2" r:id="R0ddfc876bb15454a"/>
    <x:sheet xmlns:r="http://schemas.openxmlformats.org/officeDocument/2006/relationships" name="Dashboard" sheetId="3" r:id="R09d904d4d1704ce8"/>
    <x:sheet xmlns:r="http://schemas.openxmlformats.org/officeDocument/2006/relationships" name="Printable Report" sheetId="4" r:id="Rb5cc87a17aca46ab"/>
    <x:sheet xmlns:r="http://schemas.openxmlformats.org/officeDocument/2006/relationships" name="Definitions" sheetId="5" r:id="R3ec407053771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0.00"/>
    <x:numFmt numFmtId="202" formatCode="0"/>
    <x:numFmt numFmtId="203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/>
  </x:borders>
  <x:cellStyleXfs count="1">
    <x:xf numFmtId="0" fontId="0" fillId="0" borderId="0"/>
  </x:cellStyleXfs>
  <x:cellXfs count="9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2" fontId="0" fillId="5" borderId="0" xfId="0" applyNumberFormat="1" applyFont="1" applyFill="1" applyBorder="1"/>
    <x:xf numFmtId="202" fontId="0" fillId="5" borderId="1" xfId="0" applyNumberFormat="1" applyFont="1" applyFill="1" applyBorder="1"/>
    <x:xf numFmtId="203" fontId="0" fillId="5" borderId="0" xfId="0" applyNumberFormat="1" applyFont="1" applyFill="1" applyBorder="1"/>
    <x:xf numFmtId="203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202" fontId="0" fillId="5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2" fontId="0" fillId="5" borderId="1" xfId="0" applyNumberFormat="1" applyFont="1" applyFill="1" applyBorder="1" applyAlignment="1">
      <x:alignment wrapText="1"/>
    </x:xf>
    <x:xf numFmtId="203" fontId="0" fillId="5" borderId="1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 wrapText="1"/>
    </x:xf>
    <x:xf numFmtId="203" fontId="0" fillId="5" borderId="0" xfId="0" applyNumberFormat="1" applyFont="1" applyFill="1" applyBorder="1" applyAlignment="1">
      <x:alignment vertical="center" wrapText="1"/>
    </x:xf>
    <x:xf numFmtId="200" fontId="0" fillId="6" borderId="0" xfId="0" applyNumberFormat="1" applyFont="1" applyFill="1" applyBorder="1" applyAlignment="1">
      <x:alignment vertical="center" wrapText="1"/>
    </x:xf>
    <x:xf numFmtId="201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202" fontId="0" fillId="5" borderId="1" xfId="0" applyNumberFormat="1" applyFont="1" applyFill="1" applyBorder="1" applyAlignment="1">
      <x:alignment vertical="center" wrapText="1"/>
    </x:xf>
    <x:xf numFmtId="203" fontId="0" fillId="5" borderId="1" xfId="0" applyNumberFormat="1" applyFont="1" applyFill="1" applyBorder="1" applyAlignment="1">
      <x:alignment vertical="center" wrapText="1"/>
    </x:xf>
    <x:xf numFmtId="200" fontId="0" fillId="6" borderId="1" xfId="0" applyNumberFormat="1" applyFont="1" applyFill="1" applyBorder="1" applyAlignment="1">
      <x:alignment vertical="center" wrapText="1"/>
    </x:xf>
    <x:xf numFmtId="201" fontId="0" fillId="6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vertical="center"/>
    </x:xf>
    <x:xf numFmtId="201" fontId="0" fillId="6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6" borderId="1" xfId="0" applyNumberFormat="1" applyFont="1" applyFill="1" applyBorder="1" applyAlignment="1">
      <x:alignment vertical="center"/>
    </x:xf>
    <x:xf numFmtId="201" fontId="0" fillId="6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c5f5cb8fc4f1b" /><Relationship Type="http://schemas.openxmlformats.org/officeDocument/2006/relationships/theme" Target="/xl/theme/theme1.xml" Id="R45fe4783f9c54628" /><Relationship Type="http://schemas.openxmlformats.org/officeDocument/2006/relationships/sharedStrings" Target="/xl/sharedStrings.xml" Id="R5a6dffa5c27a405a" /><Relationship Type="http://schemas.openxmlformats.org/officeDocument/2006/relationships/worksheet" Target="/xl/worksheets/sheet1.xml" Id="R30ae162d9deb4f6e" /><Relationship Type="http://schemas.openxmlformats.org/officeDocument/2006/relationships/worksheet" Target="/xl/worksheets/sheet2.xml" Id="R0ddfc876bb15454a" /><Relationship Type="http://schemas.openxmlformats.org/officeDocument/2006/relationships/worksheet" Target="/xl/worksheets/sheet3.xml" Id="R09d904d4d1704ce8" /><Relationship Type="http://schemas.openxmlformats.org/officeDocument/2006/relationships/worksheet" Target="/xl/worksheets/sheet4.xml" Id="Rb5cc87a17aca46ab" /><Relationship Type="http://schemas.openxmlformats.org/officeDocument/2006/relationships/worksheet" Target="/xl/worksheets/sheet5.xml" Id="R3ec407053771469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74af85693874104" /><Relationship Type="http://schemas.openxmlformats.org/officeDocument/2006/relationships/chart" Target="/xl/drawings/charts/chart2.xml" Id="R8690b790d88e45f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Rate Indicators: Current vs Prior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Current</c:v>
          </c:tx>
          <c:cat>
            <c:strRef>
              <c:f>'Dashboard'!$F$5:$F$7</c:f>
              <c:strCache>
                <c:ptCount val="0"/>
              </c:strCache>
            </c:strRef>
          </c:cat>
          <c:val>
            <c:numRef>
              <c:f>'Dashboard'!$G$5:$G$7</c:f>
              <c:numCache>
                <c:formatCode>0.00%</c:formatCode>
                <c:ptCount val="0"/>
              </c:numCache>
            </c:numRef>
          </c:val>
        </c:ser>
        <c:ser>
          <c:idx val="1"/>
          <c:order val="1"/>
          <c:tx>
            <c:v>Prior</c:v>
          </c:tx>
          <c:cat>
            <c:strRef>
              <c:f>'Dashboard'!$F$5:$F$7</c:f>
              <c:strCache>
                <c:ptCount val="0"/>
              </c:strCache>
            </c:strRef>
          </c:cat>
          <c:val>
            <c:numRef>
              <c:f>'Dashboard'!$H$5:$H$7</c:f>
              <c:numCache>
                <c:formatCode>0.00%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Malaria Incidence / 1,000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Current</c:v>
          </c:tx>
          <c:cat>
            <c:strRef>
              <c:f>'Dashboard'!$F$26</c:f>
              <c:strCache>
                <c:ptCount val="0"/>
              </c:strCache>
            </c:strRef>
          </c:cat>
          <c:val>
            <c:numRef>
              <c:f>'Dashboard'!$G$26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Prior</c:v>
          </c:tx>
          <c:cat>
            <c:strRef>
              <c:f>'Dashboard'!$F$26</c:f>
              <c:strCache>
                <c:ptCount val="0"/>
              </c:strCache>
            </c:strRef>
          </c:cat>
          <c:val>
            <c:numRef>
              <c:f>'Dashboard'!$H$26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8</xdr:row>
      <xdr:rowOff>0</xdr:rowOff>
    </xdr:from>
    <xdr:to>
      <xdr:col>13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4af85693874104"/>
        </a:graphicData>
      </a:graphic>
    </xdr:graphicFrame>
    <xdr:clientData/>
  </xdr:twoCellAnchor>
  <xdr:twoCellAnchor>
    <xdr:from>
      <xdr:col>5</xdr:col>
      <xdr:colOff>0</xdr:colOff>
      <xdr:row>27</xdr:row>
      <xdr:rowOff>0</xdr:rowOff>
    </xdr:from>
    <xdr:to>
      <xdr:col>13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90b790d88e45f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HealthDataTable" displayName="HealthDataTable" ref="A1:O201" headerRowCount="1" totalsRowCount="0" totalsRowShown="0">
  <x:tableColumns count="15">
    <x:tableColumn id="1" name="Area / Health Zone"/>
    <x:tableColumn id="2" name="Period"/>
    <x:tableColumn id="3" name="Population"/>
    <x:tableColumn id="4" name="TB Notified Cases"/>
    <x:tableColumn id="5" name="TB Estimated Incident Cases"/>
    <x:tableColumn id="6" name="Confirmed Malaria Cases"/>
    <x:tableColumn id="7" name="Estimated PLHIV"/>
    <x:tableColumn id="8" name="PLHIV on ART"/>
    <x:tableColumn id="9" name="New HIV Infections (15–24)"/>
    <x:tableColumn id="10" name="Population at Risk (15–24)"/>
    <x:tableColumn id="11" name="TB Detection Rate"/>
    <x:tableColumn id="12" name="Malaria Incidence / 1,000"/>
    <x:tableColumn id="13" name="ART Coverage"/>
    <x:tableColumn id="14" name="HIV Incidence (15–24)"/>
    <x:tableColumn id="15" name="Data Quality Warn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90cb632199e4d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d557d5c38b0412e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6" customHeight="1">
      <x:c r="A1" s="22" t="str">
        <x:v>Health Data Reporting Toolkit — Excel Edition</x:v>
      </x:c>
      <x:c r="B1" s="22"/>
      <x:c r="C1" s="22"/>
      <x:c r="D1" s="22"/>
      <x:c r="E1" s="22"/>
      <x:c r="F1" s="22"/>
      <x:c r="G1" s="22"/>
      <x:c r="H1" s="22"/>
    </x:row>
    <x:row r="2" ht="26" customHeight="1">
      <x:c r="A2" s="22"/>
      <x:c r="B2" s="22"/>
      <x:c r="C2" s="22"/>
      <x:c r="D2" s="22"/>
      <x:c r="E2" s="22"/>
      <x:c r="F2" s="22"/>
      <x:c r="G2" s="22"/>
      <x:c r="H2" s="22"/>
    </x:row>
    <x:row r="3">
      <x:c r="A3" s="67"/>
      <x:c r="B3" s="67"/>
      <x:c r="C3" s="67"/>
      <x:c r="D3" s="67"/>
      <x:c r="E3" s="67"/>
      <x:c r="F3" s="67"/>
      <x:c r="G3" s="67"/>
      <x:c r="H3" s="67"/>
    </x:row>
    <x:row r="4">
      <x:c r="A4" s="12" t="str">
        <x:v>How to use this workbook</x:v>
      </x:c>
      <x:c r="B4" s="12"/>
      <x:c r="C4" s="12"/>
      <x:c r="D4" s="12"/>
      <x:c r="E4" s="12"/>
      <x:c r="F4" s="12"/>
      <x:c r="G4" s="12"/>
      <x:c r="H4" s="12"/>
    </x:row>
    <x:row r="5">
      <x:c r="A5" s="67"/>
      <x:c r="B5" s="67"/>
      <x:c r="C5" s="67"/>
      <x:c r="D5" s="67"/>
      <x:c r="E5" s="67"/>
      <x:c r="F5" s="67"/>
      <x:c r="G5" s="67"/>
      <x:c r="H5" s="67"/>
    </x:row>
    <x:row r="6">
      <x:c r="A6" s="68" t="str">
        <x:v>1</x:v>
      </x:c>
      <x:c r="B6" s="65" t="str">
        <x:v>Go to Data Entry.</x:v>
      </x:c>
      <x:c r="C6" s="65" t="str">
        <x:v>Enter one row per health zone/district and reporting period.</x:v>
      </x:c>
      <x:c r="D6" s="67"/>
      <x:c r="E6" s="67"/>
      <x:c r="F6" s="67"/>
      <x:c r="G6" s="67"/>
      <x:c r="H6" s="67"/>
    </x:row>
    <x:row r="7">
      <x:c r="A7" s="68" t="str">
        <x:v>2</x:v>
      </x:c>
      <x:c r="B7" s="65" t="str">
        <x:v>Fill only the yellow columns.</x:v>
      </x:c>
      <x:c r="C7" s="65" t="str">
        <x:v>The green indicator columns calculate automatically.</x:v>
      </x:c>
      <x:c r="D7" s="67"/>
      <x:c r="E7" s="67"/>
      <x:c r="F7" s="67"/>
      <x:c r="G7" s="67"/>
      <x:c r="H7" s="67"/>
    </x:row>
    <x:row r="8">
      <x:c r="A8" s="68" t="str">
        <x:v>3</x:v>
      </x:c>
      <x:c r="B8" s="65" t="str">
        <x:v>Check Data Quality Warning.</x:v>
      </x:c>
      <x:c r="C8" s="65" t="str">
        <x:v>Fix any denominator, missing-value, or logical consistency warning.</x:v>
      </x:c>
      <x:c r="D8" s="67"/>
      <x:c r="E8" s="67"/>
      <x:c r="F8" s="67"/>
      <x:c r="G8" s="67"/>
      <x:c r="H8" s="67"/>
    </x:row>
    <x:row r="9">
      <x:c r="A9" s="68" t="str">
        <x:v>4</x:v>
      </x:c>
      <x:c r="B9" s="65" t="str">
        <x:v>Go to Dashboard.</x:v>
      </x:c>
      <x:c r="C9" s="65" t="str">
        <x:v>Choose an area and current/prior reporting periods in the yellow selector cells.</x:v>
      </x:c>
      <x:c r="D9" s="67"/>
      <x:c r="E9" s="67"/>
      <x:c r="F9" s="67"/>
      <x:c r="G9" s="67"/>
      <x:c r="H9" s="67"/>
    </x:row>
    <x:row r="10">
      <x:c r="A10" s="68" t="str">
        <x:v>5</x:v>
      </x:c>
      <x:c r="B10" s="65" t="str">
        <x:v>Review comparisons and charts.</x:v>
      </x:c>
      <x:c r="C10" s="65" t="str">
        <x:v>The dashboard calculates changes automatically.</x:v>
      </x:c>
      <x:c r="D10" s="67"/>
      <x:c r="E10" s="67"/>
      <x:c r="F10" s="67"/>
      <x:c r="G10" s="67"/>
      <x:c r="H10" s="67"/>
    </x:row>
    <x:row r="11">
      <x:c r="A11" s="68" t="str">
        <x:v>6</x:v>
      </x:c>
      <x:c r="B11" s="65" t="str">
        <x:v>Open Printable Report.</x:v>
      </x:c>
      <x:c r="C11" s="65" t="str">
        <x:v>It pulls the selected area/period into a clean one-page summary.</x:v>
      </x:c>
      <x:c r="D11" s="67"/>
      <x:c r="E11" s="67"/>
      <x:c r="F11" s="67"/>
      <x:c r="G11" s="67"/>
      <x:c r="H11" s="67"/>
    </x:row>
    <x:row r="12">
      <x:c r="A12" s="67"/>
      <x:c r="B12" s="67"/>
      <x:c r="C12" s="67"/>
      <x:c r="D12" s="67"/>
      <x:c r="E12" s="67"/>
      <x:c r="F12" s="67"/>
      <x:c r="G12" s="67"/>
      <x:c r="H12" s="67"/>
    </x:row>
    <x:row r="13">
      <x:c r="A13" s="12" t="str">
        <x:v>Important</x:v>
      </x:c>
      <x:c r="B13" s="12"/>
      <x:c r="C13" s="12"/>
      <x:c r="D13" s="12"/>
      <x:c r="E13" s="12"/>
      <x:c r="F13" s="12"/>
      <x:c r="G13" s="12"/>
      <x:c r="H13" s="12"/>
    </x:row>
    <x:row r="14">
      <x:c r="A14" s="65" t="str">
        <x:v>This workbook is a reporting aid, not a replacement for national program definitions. Confirm denominators, case definitions, and official indicator targets with your Ministry of Health, PNLT/PNLS/malaria program, WHO guidance, or the applicable reporting framework before official submission.</x:v>
      </x:c>
      <x:c r="B14" s="65"/>
      <x:c r="C14" s="65"/>
      <x:c r="D14" s="65"/>
      <x:c r="E14" s="65"/>
      <x:c r="F14" s="65"/>
      <x:c r="G14" s="65"/>
      <x:c r="H14" s="65"/>
    </x:row>
    <x:row r="15">
      <x:c r="A15" s="65"/>
      <x:c r="B15" s="65"/>
      <x:c r="C15" s="65"/>
      <x:c r="D15" s="65"/>
      <x:c r="E15" s="65"/>
      <x:c r="F15" s="65"/>
      <x:c r="G15" s="65"/>
      <x:c r="H15" s="65"/>
    </x:row>
    <x:row r="16">
      <x:c r="A16" s="65"/>
      <x:c r="B16" s="65"/>
      <x:c r="C16" s="65"/>
      <x:c r="D16" s="65"/>
      <x:c r="E16" s="65"/>
      <x:c r="F16" s="65"/>
      <x:c r="G16" s="65"/>
      <x:c r="H16" s="65"/>
    </x:row>
    <x:row r="17">
      <x:c r="A17" s="65"/>
      <x:c r="B17" s="65"/>
      <x:c r="C17" s="65"/>
      <x:c r="D17" s="65"/>
      <x:c r="E17" s="65"/>
      <x:c r="F17" s="65"/>
      <x:c r="G17" s="65"/>
      <x:c r="H17" s="65"/>
    </x:row>
    <x:row r="18">
      <x:c r="A18" s="67"/>
      <x:c r="B18" s="67"/>
      <x:c r="C18" s="67"/>
      <x:c r="D18" s="67"/>
      <x:c r="E18" s="67"/>
      <x:c r="F18" s="67"/>
      <x:c r="G18" s="67"/>
      <x:c r="H18" s="67"/>
    </x:row>
    <x:row r="19">
      <x:c r="A19" s="67"/>
      <x:c r="B19" s="67"/>
      <x:c r="C19" s="67"/>
      <x:c r="D19" s="67"/>
      <x:c r="E19" s="67"/>
      <x:c r="F19" s="67"/>
      <x:c r="G19" s="67"/>
      <x:c r="H19" s="67"/>
    </x:row>
    <x:row r="20">
      <x:c r="A20" s="67"/>
      <x:c r="B20" s="67"/>
      <x:c r="C20" s="67"/>
      <x:c r="D20" s="67"/>
      <x:c r="E20" s="67"/>
      <x:c r="F20" s="67"/>
      <x:c r="G20" s="67"/>
      <x:c r="H20" s="67"/>
    </x:row>
  </x:sheetData>
  <x:mergeCells>
    <x:mergeCell ref="A1:H2"/>
    <x:mergeCell ref="A4:H4"/>
    <x:mergeCell ref="A13:H13"/>
    <x:mergeCell ref="A14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" hidden="0" customWidth="1"/>
    <x:col min="3" max="3" width="14" hidden="0" customWidth="1"/>
    <x:col min="4" max="4" width="15" hidden="0" customWidth="1"/>
    <x:col min="5" max="5" width="20" hidden="0" customWidth="1"/>
    <x:col min="6" max="6" width="19" hidden="0" customWidth="1"/>
    <x:col min="7" max="7" width="15" hidden="0" customWidth="1"/>
    <x:col min="8" max="8" width="14" hidden="0" customWidth="1"/>
    <x:col min="9" max="9" width="20" hidden="0" customWidth="1"/>
    <x:col min="10" max="10" width="22" hidden="0" customWidth="1"/>
    <x:col min="11" max="11" width="16" hidden="0" customWidth="1"/>
    <x:col min="12" max="12" width="20" hidden="0" customWidth="1"/>
    <x:col min="13" max="13" width="15" hidden="0" customWidth="1"/>
    <x:col min="14" max="14" width="18" hidden="0" customWidth="1"/>
    <x:col min="15" max="15" width="38" hidden="0" customWidth="1"/>
  </x:cols>
  <x:sheetData>
    <x:row r="1">
      <x:c r="A1" s="29" t="str">
        <x:v>Area / Health Zone</x:v>
      </x:c>
      <x:c r="B1" s="29" t="str">
        <x:v>Period</x:v>
      </x:c>
      <x:c r="C1" s="29" t="str">
        <x:v>Population</x:v>
      </x:c>
      <x:c r="D1" s="29" t="str">
        <x:v>TB Notified Cases</x:v>
      </x:c>
      <x:c r="E1" s="29" t="str">
        <x:v>TB Estimated Incident Cases</x:v>
      </x:c>
      <x:c r="F1" s="29" t="str">
        <x:v>Confirmed Malaria Cases</x:v>
      </x:c>
      <x:c r="G1" s="29" t="str">
        <x:v>Estimated PLHIV</x:v>
      </x:c>
      <x:c r="H1" s="29" t="str">
        <x:v>PLHIV on ART</x:v>
      </x:c>
      <x:c r="I1" s="29" t="str">
        <x:v>New HIV Infections (15–24)</x:v>
      </x:c>
      <x:c r="J1" s="29" t="str">
        <x:v>Population at Risk (15–24)</x:v>
      </x:c>
      <x:c r="K1" s="29" t="str">
        <x:v>TB Detection Rate</x:v>
      </x:c>
      <x:c r="L1" s="29" t="str">
        <x:v>Malaria Incidence / 1,000</x:v>
      </x:c>
      <x:c r="M1" s="29" t="str">
        <x:v>ART Coverage</x:v>
      </x:c>
      <x:c r="N1" s="29" t="str">
        <x:v>HIV Incidence (15–24)</x:v>
      </x:c>
      <x:c r="O1" s="29" t="str">
        <x:v>Data Quality Warning</x:v>
      </x:c>
    </x:row>
    <x:row r="2">
      <x:c r="A2" s="71" t="str">
        <x:v>Health Zone A</x:v>
      </x:c>
      <x:c r="B2" s="72" t="n">
        <x:v>2025</x:v>
      </x:c>
      <x:c r="C2" s="73" t="n">
        <x:v>366915</x:v>
      </x:c>
      <x:c r="D2" s="73" t="n">
        <x:v>1240</x:v>
      </x:c>
      <x:c r="E2" s="73" t="n">
        <x:v>1600</x:v>
      </x:c>
      <x:c r="F2" s="73" t="n">
        <x:v>45320</x:v>
      </x:c>
      <x:c r="G2" s="73" t="n">
        <x:v>2450</x:v>
      </x:c>
      <x:c r="H2" s="73" t="n">
        <x:v>2111</x:v>
      </x:c>
      <x:c r="I2" s="73" t="n">
        <x:v>21</x:v>
      </x:c>
      <x:c r="J2" s="73" t="n">
        <x:v>72000</x:v>
      </x:c>
      <x:c r="K2" s="74" t="n">
        <x:f>IF(OR(D2="",E2=""),"",IFERROR(D2/E2,""))</x:f>
        <x:v>0.775</x:v>
      </x:c>
      <x:c r="L2" s="75" t="n">
        <x:f>IF(OR(F2="",C2=""),"",IFERROR(F2/C2*1000,""))</x:f>
        <x:v>123.51634574765274</x:v>
      </x:c>
      <x:c r="M2" s="74" t="n">
        <x:f>IF(OR(H2="",G2=""),"",IFERROR(H2/G2,""))</x:f>
        <x:v>0.8616326530612245</x:v>
      </x:c>
      <x:c r="N2" s="74" t="n">
        <x:f>IF(OR(I2="",J2=""),"",IFERROR(I2/J2,""))</x:f>
        <x:v>0.0002916666666666667</x:v>
      </x:c>
      <x:c r="O2" s="76" t="str">
        <x:f>IF(A2="","",TEXTJOIN("; ",TRUE,IF(C2&lt;=0,"Population missing/invalid",""),IF(E2&lt;=0,"TB estimated cases missing/invalid",""),IF(D2&gt;E2,"TB notified &gt; estimated incident cases",""),IF(F2&gt;C2,"Malaria cases &gt; population (review period/definition)",""),IF(G2&lt;=0,"PLHIV denominator missing/invalid",""),IF(H2&gt;G2,"ART count &gt; estimated PLHIV",""),IF(J2&lt;=0,"HIV population-at-risk missing/invalid",""),IF(I2&gt;J2,"New HIV infections &gt; population at risk","")))</x:f>
      </x:c>
    </x:row>
    <x:row r="3">
      <x:c r="A3" s="71" t="str">
        <x:v>Health Zone A</x:v>
      </x:c>
      <x:c r="B3" s="72" t="n">
        <x:v>2026</x:v>
      </x:c>
      <x:c r="C3" s="73" t="n">
        <x:v>379023</x:v>
      </x:c>
      <x:c r="D3" s="73" t="n">
        <x:v>1365</x:v>
      </x:c>
      <x:c r="E3" s="73" t="n">
        <x:v>1650</x:v>
      </x:c>
      <x:c r="F3" s="73" t="n">
        <x:v>41980</x:v>
      </x:c>
      <x:c r="G3" s="73" t="n">
        <x:v>2520</x:v>
      </x:c>
      <x:c r="H3" s="73" t="n">
        <x:v>2285</x:v>
      </x:c>
      <x:c r="I3" s="73" t="n">
        <x:v>8</x:v>
      </x:c>
      <x:c r="J3" s="73" t="n">
        <x:v>74500</x:v>
      </x:c>
      <x:c r="K3" s="74" t="n">
        <x:f>IF(OR(D3="",E3=""),"",IFERROR(D3/E3,""))</x:f>
        <x:v>0.8272727272727273</x:v>
      </x:c>
      <x:c r="L3" s="75" t="n">
        <x:f>IF(OR(F3="",C3=""),"",IFERROR(F3/C3*1000,""))</x:f>
        <x:v>110.75845001490676</x:v>
      </x:c>
      <x:c r="M3" s="74" t="n">
        <x:f>IF(OR(H3="",G3=""),"",IFERROR(H3/G3,""))</x:f>
        <x:v>0.9067460317460317</x:v>
      </x:c>
      <x:c r="N3" s="74" t="n">
        <x:f>IF(OR(I3="",J3=""),"",IFERROR(I3/J3,""))</x:f>
        <x:v>0.00010738255033557047</x:v>
      </x:c>
      <x:c r="O3" s="76" t="str">
        <x:f>IF(A3="","",TEXTJOIN("; ",TRUE,IF(C3&lt;=0,"Population missing/invalid",""),IF(E3&lt;=0,"TB estimated cases missing/invalid",""),IF(D3&gt;E3,"TB notified &gt; estimated incident cases",""),IF(F3&gt;C3,"Malaria cases &gt; population (review period/definition)",""),IF(G3&lt;=0,"PLHIV denominator missing/invalid",""),IF(H3&gt;G3,"ART count &gt; estimated PLHIV",""),IF(J3&lt;=0,"HIV population-at-risk missing/invalid",""),IF(I3&gt;J3,"New HIV infections &gt; population at risk","")))</x:f>
      </x:c>
    </x:row>
    <x:row r="4">
      <x:c r="A4" s="71" t="str">
        <x:v>Health Zone B</x:v>
      </x:c>
      <x:c r="B4" s="72" t="n">
        <x:v>2025</x:v>
      </x:c>
      <x:c r="C4" s="73" t="n">
        <x:v>215800</x:v>
      </x:c>
      <x:c r="D4" s="73" t="n">
        <x:v>710</x:v>
      </x:c>
      <x:c r="E4" s="73" t="n">
        <x:v>980</x:v>
      </x:c>
      <x:c r="F4" s="73" t="n">
        <x:v>28600</x:v>
      </x:c>
      <x:c r="G4" s="73" t="n">
        <x:v>1320</x:v>
      </x:c>
      <x:c r="H4" s="73" t="n">
        <x:v>1090</x:v>
      </x:c>
      <x:c r="I4" s="73" t="n">
        <x:v>15</x:v>
      </x:c>
      <x:c r="J4" s="73" t="n">
        <x:v>42300</x:v>
      </x:c>
      <x:c r="K4" s="74" t="n">
        <x:f>IF(OR(D4="",E4=""),"",IFERROR(D4/E4,""))</x:f>
        <x:v>0.7244897959183674</x:v>
      </x:c>
      <x:c r="L4" s="75" t="n">
        <x:f>IF(OR(F4="",C4=""),"",IFERROR(F4/C4*1000,""))</x:f>
        <x:v>132.53012048192772</x:v>
      </x:c>
      <x:c r="M4" s="74" t="n">
        <x:f>IF(OR(H4="",G4=""),"",IFERROR(H4/G4,""))</x:f>
        <x:v>0.8257575757575758</x:v>
      </x:c>
      <x:c r="N4" s="74" t="n">
        <x:f>IF(OR(I4="",J4=""),"",IFERROR(I4/J4,""))</x:f>
        <x:v>0.0003546099290780142</x:v>
      </x:c>
      <x:c r="O4" s="76" t="str">
        <x:f>IF(A4="","",TEXTJOIN("; ",TRUE,IF(C4&lt;=0,"Population missing/invalid",""),IF(E4&lt;=0,"TB estimated cases missing/invalid",""),IF(D4&gt;E4,"TB notified &gt; estimated incident cases",""),IF(F4&gt;C4,"Malaria cases &gt; population (review period/definition)",""),IF(G4&lt;=0,"PLHIV denominator missing/invalid",""),IF(H4&gt;G4,"ART count &gt; estimated PLHIV",""),IF(J4&lt;=0,"HIV population-at-risk missing/invalid",""),IF(I4&gt;J4,"New HIV infections &gt; population at risk","")))</x:f>
      </x:c>
    </x:row>
    <x:row r="5">
      <x:c r="A5" s="71" t="str">
        <x:v>Health Zone B</x:v>
      </x:c>
      <x:c r="B5" s="72" t="n">
        <x:v>2026</x:v>
      </x:c>
      <x:c r="C5" s="73" t="n">
        <x:v>223400</x:v>
      </x:c>
      <x:c r="D5" s="73" t="n">
        <x:v>795</x:v>
      </x:c>
      <x:c r="E5" s="73" t="n">
        <x:v>1010</x:v>
      </x:c>
      <x:c r="F5" s="73" t="n">
        <x:v>26450</x:v>
      </x:c>
      <x:c r="G5" s="73" t="n">
        <x:v>1385</x:v>
      </x:c>
      <x:c r="H5" s="73" t="n">
        <x:v>1210</x:v>
      </x:c>
      <x:c r="I5" s="73" t="n">
        <x:v>11</x:v>
      </x:c>
      <x:c r="J5" s="73" t="n">
        <x:v>43900</x:v>
      </x:c>
      <x:c r="K5" s="74" t="n">
        <x:f>IF(OR(D5="",E5=""),"",IFERROR(D5/E5,""))</x:f>
        <x:v>0.7871287128712872</x:v>
      </x:c>
      <x:c r="L5" s="75" t="n">
        <x:f>IF(OR(F5="",C5=""),"",IFERROR(F5/C5*1000,""))</x:f>
        <x:v>118.39749328558639</x:v>
      </x:c>
      <x:c r="M5" s="74" t="n">
        <x:f>IF(OR(H5="",G5=""),"",IFERROR(H5/G5,""))</x:f>
        <x:v>0.8736462093862816</x:v>
      </x:c>
      <x:c r="N5" s="74" t="n">
        <x:f>IF(OR(I5="",J5=""),"",IFERROR(I5/J5,""))</x:f>
        <x:v>0.00025056947608200457</x:v>
      </x:c>
      <x:c r="O5" s="76" t="str">
        <x:f>IF(A5="","",TEXTJOIN("; ",TRUE,IF(C5&lt;=0,"Population missing/invalid",""),IF(E5&lt;=0,"TB estimated cases missing/invalid",""),IF(D5&gt;E5,"TB notified &gt; estimated incident cases",""),IF(F5&gt;C5,"Malaria cases &gt; population (review period/definition)",""),IF(G5&lt;=0,"PLHIV denominator missing/invalid",""),IF(H5&gt;G5,"ART count &gt; estimated PLHIV",""),IF(J5&lt;=0,"HIV population-at-risk missing/invalid",""),IF(I5&gt;J5,"New HIV infections &gt; population at risk","")))</x:f>
      </x:c>
    </x:row>
    <x:row r="6">
      <x:c r="A6" s="71"/>
      <x:c r="B6" s="72"/>
      <x:c r="C6" s="73"/>
      <x:c r="D6" s="73"/>
      <x:c r="E6" s="73"/>
      <x:c r="F6" s="73"/>
      <x:c r="G6" s="73"/>
      <x:c r="H6" s="73"/>
      <x:c r="I6" s="73"/>
      <x:c r="J6" s="73"/>
      <x:c r="K6" s="74" t="str">
        <x:f>IF(OR(D6="",E6=""),"",IFERROR(D6/E6,""))</x:f>
      </x:c>
      <x:c r="L6" s="75" t="str">
        <x:f>IF(OR(F6="",C6=""),"",IFERROR(F6/C6*1000,""))</x:f>
      </x:c>
      <x:c r="M6" s="74" t="str">
        <x:f>IF(OR(H6="",G6=""),"",IFERROR(H6/G6,""))</x:f>
      </x:c>
      <x:c r="N6" s="74" t="str">
        <x:f>IF(OR(I6="",J6=""),"",IFERROR(I6/J6,""))</x:f>
      </x:c>
      <x:c r="O6" s="76" t="str">
        <x:f>IF(A6="","",TEXTJOIN("; ",TRUE,IF(C6&lt;=0,"Population missing/invalid",""),IF(E6&lt;=0,"TB estimated cases missing/invalid",""),IF(D6&gt;E6,"TB notified &gt; estimated incident cases",""),IF(F6&gt;C6,"Malaria cases &gt; population (review period/definition)",""),IF(G6&lt;=0,"PLHIV denominator missing/invalid",""),IF(H6&gt;G6,"ART count &gt; estimated PLHIV",""),IF(J6&lt;=0,"HIV population-at-risk missing/invalid",""),IF(I6&gt;J6,"New HIV infections &gt; population at risk","")))</x:f>
      </x:c>
    </x:row>
    <x:row r="7">
      <x:c r="A7" s="71"/>
      <x:c r="B7" s="72"/>
      <x:c r="C7" s="73"/>
      <x:c r="D7" s="73"/>
      <x:c r="E7" s="73"/>
      <x:c r="F7" s="73"/>
      <x:c r="G7" s="73"/>
      <x:c r="H7" s="73"/>
      <x:c r="I7" s="73"/>
      <x:c r="J7" s="73"/>
      <x:c r="K7" s="74" t="str">
        <x:f>IF(OR(D7="",E7=""),"",IFERROR(D7/E7,""))</x:f>
      </x:c>
      <x:c r="L7" s="75" t="str">
        <x:f>IF(OR(F7="",C7=""),"",IFERROR(F7/C7*1000,""))</x:f>
      </x:c>
      <x:c r="M7" s="74" t="str">
        <x:f>IF(OR(H7="",G7=""),"",IFERROR(H7/G7,""))</x:f>
      </x:c>
      <x:c r="N7" s="74" t="str">
        <x:f>IF(OR(I7="",J7=""),"",IFERROR(I7/J7,""))</x:f>
      </x:c>
      <x:c r="O7" s="76" t="str">
        <x:f>IF(A7="","",TEXTJOIN("; ",TRUE,IF(C7&lt;=0,"Population missing/invalid",""),IF(E7&lt;=0,"TB estimated cases missing/invalid",""),IF(D7&gt;E7,"TB notified &gt; estimated incident cases",""),IF(F7&gt;C7,"Malaria cases &gt; population (review period/definition)",""),IF(G7&lt;=0,"PLHIV denominator missing/invalid",""),IF(H7&gt;G7,"ART count &gt; estimated PLHIV",""),IF(J7&lt;=0,"HIV population-at-risk missing/invalid",""),IF(I7&gt;J7,"New HIV infections &gt; population at risk","")))</x:f>
      </x:c>
    </x:row>
    <x:row r="8">
      <x:c r="A8" s="71"/>
      <x:c r="B8" s="72"/>
      <x:c r="C8" s="73"/>
      <x:c r="D8" s="73"/>
      <x:c r="E8" s="73"/>
      <x:c r="F8" s="73"/>
      <x:c r="G8" s="73"/>
      <x:c r="H8" s="73"/>
      <x:c r="I8" s="73"/>
      <x:c r="J8" s="73"/>
      <x:c r="K8" s="74" t="str">
        <x:f>IF(OR(D8="",E8=""),"",IFERROR(D8/E8,""))</x:f>
      </x:c>
      <x:c r="L8" s="75" t="str">
        <x:f>IF(OR(F8="",C8=""),"",IFERROR(F8/C8*1000,""))</x:f>
      </x:c>
      <x:c r="M8" s="74" t="str">
        <x:f>IF(OR(H8="",G8=""),"",IFERROR(H8/G8,""))</x:f>
      </x:c>
      <x:c r="N8" s="74" t="str">
        <x:f>IF(OR(I8="",J8=""),"",IFERROR(I8/J8,""))</x:f>
      </x:c>
      <x:c r="O8" s="76" t="str">
        <x:f>IF(A8="","",TEXTJOIN("; ",TRUE,IF(C8&lt;=0,"Population missing/invalid",""),IF(E8&lt;=0,"TB estimated cases missing/invalid",""),IF(D8&gt;E8,"TB notified &gt; estimated incident cases",""),IF(F8&gt;C8,"Malaria cases &gt; population (review period/definition)",""),IF(G8&lt;=0,"PLHIV denominator missing/invalid",""),IF(H8&gt;G8,"ART count &gt; estimated PLHIV",""),IF(J8&lt;=0,"HIV population-at-risk missing/invalid",""),IF(I8&gt;J8,"New HIV infections &gt; population at risk","")))</x:f>
      </x:c>
    </x:row>
    <x:row r="9">
      <x:c r="A9" s="71"/>
      <x:c r="B9" s="72"/>
      <x:c r="C9" s="73"/>
      <x:c r="D9" s="73"/>
      <x:c r="E9" s="73"/>
      <x:c r="F9" s="73"/>
      <x:c r="G9" s="73"/>
      <x:c r="H9" s="73"/>
      <x:c r="I9" s="73"/>
      <x:c r="J9" s="73"/>
      <x:c r="K9" s="74" t="str">
        <x:f>IF(OR(D9="",E9=""),"",IFERROR(D9/E9,""))</x:f>
      </x:c>
      <x:c r="L9" s="75" t="str">
        <x:f>IF(OR(F9="",C9=""),"",IFERROR(F9/C9*1000,""))</x:f>
      </x:c>
      <x:c r="M9" s="74" t="str">
        <x:f>IF(OR(H9="",G9=""),"",IFERROR(H9/G9,""))</x:f>
      </x:c>
      <x:c r="N9" s="74" t="str">
        <x:f>IF(OR(I9="",J9=""),"",IFERROR(I9/J9,""))</x:f>
      </x:c>
      <x:c r="O9" s="76" t="str">
        <x:f>IF(A9="","",TEXTJOIN("; ",TRUE,IF(C9&lt;=0,"Population missing/invalid",""),IF(E9&lt;=0,"TB estimated cases missing/invalid",""),IF(D9&gt;E9,"TB notified &gt; estimated incident cases",""),IF(F9&gt;C9,"Malaria cases &gt; population (review period/definition)",""),IF(G9&lt;=0,"PLHIV denominator missing/invalid",""),IF(H9&gt;G9,"ART count &gt; estimated PLHIV",""),IF(J9&lt;=0,"HIV population-at-risk missing/invalid",""),IF(I9&gt;J9,"New HIV infections &gt; population at risk","")))</x:f>
      </x:c>
    </x:row>
    <x:row r="10">
      <x:c r="A10" s="71"/>
      <x:c r="B10" s="72"/>
      <x:c r="C10" s="73"/>
      <x:c r="D10" s="73"/>
      <x:c r="E10" s="73"/>
      <x:c r="F10" s="73"/>
      <x:c r="G10" s="73"/>
      <x:c r="H10" s="73"/>
      <x:c r="I10" s="73"/>
      <x:c r="J10" s="73"/>
      <x:c r="K10" s="74" t="str">
        <x:f>IF(OR(D10="",E10=""),"",IFERROR(D10/E10,""))</x:f>
      </x:c>
      <x:c r="L10" s="75" t="str">
        <x:f>IF(OR(F10="",C10=""),"",IFERROR(F10/C10*1000,""))</x:f>
      </x:c>
      <x:c r="M10" s="74" t="str">
        <x:f>IF(OR(H10="",G10=""),"",IFERROR(H10/G10,""))</x:f>
      </x:c>
      <x:c r="N10" s="74" t="str">
        <x:f>IF(OR(I10="",J10=""),"",IFERROR(I10/J10,""))</x:f>
      </x:c>
      <x:c r="O10" s="76" t="str">
        <x:f>IF(A10="","",TEXTJOIN("; ",TRUE,IF(C10&lt;=0,"Population missing/invalid",""),IF(E10&lt;=0,"TB estimated cases missing/invalid",""),IF(D10&gt;E10,"TB notified &gt; estimated incident cases",""),IF(F10&gt;C10,"Malaria cases &gt; population (review period/definition)",""),IF(G10&lt;=0,"PLHIV denominator missing/invalid",""),IF(H10&gt;G10,"ART count &gt; estimated PLHIV",""),IF(J10&lt;=0,"HIV population-at-risk missing/invalid",""),IF(I10&gt;J10,"New HIV infections &gt; population at risk","")))</x:f>
      </x:c>
    </x:row>
    <x:row r="11">
      <x:c r="A11" s="71"/>
      <x:c r="B11" s="72"/>
      <x:c r="C11" s="73"/>
      <x:c r="D11" s="73"/>
      <x:c r="E11" s="73"/>
      <x:c r="F11" s="73"/>
      <x:c r="G11" s="73"/>
      <x:c r="H11" s="73"/>
      <x:c r="I11" s="73"/>
      <x:c r="J11" s="73"/>
      <x:c r="K11" s="74" t="str">
        <x:f>IF(OR(D11="",E11=""),"",IFERROR(D11/E11,""))</x:f>
      </x:c>
      <x:c r="L11" s="75" t="str">
        <x:f>IF(OR(F11="",C11=""),"",IFERROR(F11/C11*1000,""))</x:f>
      </x:c>
      <x:c r="M11" s="74" t="str">
        <x:f>IF(OR(H11="",G11=""),"",IFERROR(H11/G11,""))</x:f>
      </x:c>
      <x:c r="N11" s="74" t="str">
        <x:f>IF(OR(I11="",J11=""),"",IFERROR(I11/J11,""))</x:f>
      </x:c>
      <x:c r="O11" s="76" t="str">
        <x:f>IF(A11="","",TEXTJOIN("; ",TRUE,IF(C11&lt;=0,"Population missing/invalid",""),IF(E11&lt;=0,"TB estimated cases missing/invalid",""),IF(D11&gt;E11,"TB notified &gt; estimated incident cases",""),IF(F11&gt;C11,"Malaria cases &gt; population (review period/definition)",""),IF(G11&lt;=0,"PLHIV denominator missing/invalid",""),IF(H11&gt;G11,"ART count &gt; estimated PLHIV",""),IF(J11&lt;=0,"HIV population-at-risk missing/invalid",""),IF(I11&gt;J11,"New HIV infections &gt; population at risk","")))</x:f>
      </x:c>
    </x:row>
    <x:row r="12">
      <x:c r="A12" s="71"/>
      <x:c r="B12" s="72"/>
      <x:c r="C12" s="73"/>
      <x:c r="D12" s="73"/>
      <x:c r="E12" s="73"/>
      <x:c r="F12" s="73"/>
      <x:c r="G12" s="73"/>
      <x:c r="H12" s="73"/>
      <x:c r="I12" s="73"/>
      <x:c r="J12" s="73"/>
      <x:c r="K12" s="74" t="str">
        <x:f>IF(OR(D12="",E12=""),"",IFERROR(D12/E12,""))</x:f>
      </x:c>
      <x:c r="L12" s="75" t="str">
        <x:f>IF(OR(F12="",C12=""),"",IFERROR(F12/C12*1000,""))</x:f>
      </x:c>
      <x:c r="M12" s="74" t="str">
        <x:f>IF(OR(H12="",G12=""),"",IFERROR(H12/G12,""))</x:f>
      </x:c>
      <x:c r="N12" s="74" t="str">
        <x:f>IF(OR(I12="",J12=""),"",IFERROR(I12/J12,""))</x:f>
      </x:c>
      <x:c r="O12" s="76" t="str">
        <x:f>IF(A12="","",TEXTJOIN("; ",TRUE,IF(C12&lt;=0,"Population missing/invalid",""),IF(E12&lt;=0,"TB estimated cases missing/invalid",""),IF(D12&gt;E12,"TB notified &gt; estimated incident cases",""),IF(F12&gt;C12,"Malaria cases &gt; population (review period/definition)",""),IF(G12&lt;=0,"PLHIV denominator missing/invalid",""),IF(H12&gt;G12,"ART count &gt; estimated PLHIV",""),IF(J12&lt;=0,"HIV population-at-risk missing/invalid",""),IF(I12&gt;J12,"New HIV infections &gt; population at risk","")))</x:f>
      </x:c>
    </x:row>
    <x:row r="13">
      <x:c r="A13" s="71"/>
      <x:c r="B13" s="72"/>
      <x:c r="C13" s="73"/>
      <x:c r="D13" s="73"/>
      <x:c r="E13" s="73"/>
      <x:c r="F13" s="73"/>
      <x:c r="G13" s="73"/>
      <x:c r="H13" s="73"/>
      <x:c r="I13" s="73"/>
      <x:c r="J13" s="73"/>
      <x:c r="K13" s="74" t="str">
        <x:f>IF(OR(D13="",E13=""),"",IFERROR(D13/E13,""))</x:f>
      </x:c>
      <x:c r="L13" s="75" t="str">
        <x:f>IF(OR(F13="",C13=""),"",IFERROR(F13/C13*1000,""))</x:f>
      </x:c>
      <x:c r="M13" s="74" t="str">
        <x:f>IF(OR(H13="",G13=""),"",IFERROR(H13/G13,""))</x:f>
      </x:c>
      <x:c r="N13" s="74" t="str">
        <x:f>IF(OR(I13="",J13=""),"",IFERROR(I13/J13,""))</x:f>
      </x:c>
      <x:c r="O13" s="76" t="str">
        <x:f>IF(A13="","",TEXTJOIN("; ",TRUE,IF(C13&lt;=0,"Population missing/invalid",""),IF(E13&lt;=0,"TB estimated cases missing/invalid",""),IF(D13&gt;E13,"TB notified &gt; estimated incident cases",""),IF(F13&gt;C13,"Malaria cases &gt; population (review period/definition)",""),IF(G13&lt;=0,"PLHIV denominator missing/invalid",""),IF(H13&gt;G13,"ART count &gt; estimated PLHIV",""),IF(J13&lt;=0,"HIV population-at-risk missing/invalid",""),IF(I13&gt;J13,"New HIV infections &gt; population at risk","")))</x:f>
      </x:c>
    </x:row>
    <x:row r="14">
      <x:c r="A14" s="71"/>
      <x:c r="B14" s="72"/>
      <x:c r="C14" s="73"/>
      <x:c r="D14" s="73"/>
      <x:c r="E14" s="73"/>
      <x:c r="F14" s="73"/>
      <x:c r="G14" s="73"/>
      <x:c r="H14" s="73"/>
      <x:c r="I14" s="73"/>
      <x:c r="J14" s="73"/>
      <x:c r="K14" s="74" t="str">
        <x:f>IF(OR(D14="",E14=""),"",IFERROR(D14/E14,""))</x:f>
      </x:c>
      <x:c r="L14" s="75" t="str">
        <x:f>IF(OR(F14="",C14=""),"",IFERROR(F14/C14*1000,""))</x:f>
      </x:c>
      <x:c r="M14" s="74" t="str">
        <x:f>IF(OR(H14="",G14=""),"",IFERROR(H14/G14,""))</x:f>
      </x:c>
      <x:c r="N14" s="74" t="str">
        <x:f>IF(OR(I14="",J14=""),"",IFERROR(I14/J14,""))</x:f>
      </x:c>
      <x:c r="O14" s="76" t="str">
        <x:f>IF(A14="","",TEXTJOIN("; ",TRUE,IF(C14&lt;=0,"Population missing/invalid",""),IF(E14&lt;=0,"TB estimated cases missing/invalid",""),IF(D14&gt;E14,"TB notified &gt; estimated incident cases",""),IF(F14&gt;C14,"Malaria cases &gt; population (review period/definition)",""),IF(G14&lt;=0,"PLHIV denominator missing/invalid",""),IF(H14&gt;G14,"ART count &gt; estimated PLHIV",""),IF(J14&lt;=0,"HIV population-at-risk missing/invalid",""),IF(I14&gt;J14,"New HIV infections &gt; population at risk","")))</x:f>
      </x:c>
    </x:row>
    <x:row r="15">
      <x:c r="A15" s="71"/>
      <x:c r="B15" s="72"/>
      <x:c r="C15" s="73"/>
      <x:c r="D15" s="73"/>
      <x:c r="E15" s="73"/>
      <x:c r="F15" s="73"/>
      <x:c r="G15" s="73"/>
      <x:c r="H15" s="73"/>
      <x:c r="I15" s="73"/>
      <x:c r="J15" s="73"/>
      <x:c r="K15" s="74" t="str">
        <x:f>IF(OR(D15="",E15=""),"",IFERROR(D15/E15,""))</x:f>
      </x:c>
      <x:c r="L15" s="75" t="str">
        <x:f>IF(OR(F15="",C15=""),"",IFERROR(F15/C15*1000,""))</x:f>
      </x:c>
      <x:c r="M15" s="74" t="str">
        <x:f>IF(OR(H15="",G15=""),"",IFERROR(H15/G15,""))</x:f>
      </x:c>
      <x:c r="N15" s="74" t="str">
        <x:f>IF(OR(I15="",J15=""),"",IFERROR(I15/J15,""))</x:f>
      </x:c>
      <x:c r="O15" s="76" t="str">
        <x:f>IF(A15="","",TEXTJOIN("; ",TRUE,IF(C15&lt;=0,"Population missing/invalid",""),IF(E15&lt;=0,"TB estimated cases missing/invalid",""),IF(D15&gt;E15,"TB notified &gt; estimated incident cases",""),IF(F15&gt;C15,"Malaria cases &gt; population (review period/definition)",""),IF(G15&lt;=0,"PLHIV denominator missing/invalid",""),IF(H15&gt;G15,"ART count &gt; estimated PLHIV",""),IF(J15&lt;=0,"HIV population-at-risk missing/invalid",""),IF(I15&gt;J15,"New HIV infections &gt; population at risk","")))</x:f>
      </x:c>
    </x:row>
    <x:row r="16">
      <x:c r="A16" s="71"/>
      <x:c r="B16" s="72"/>
      <x:c r="C16" s="73"/>
      <x:c r="D16" s="73"/>
      <x:c r="E16" s="73"/>
      <x:c r="F16" s="73"/>
      <x:c r="G16" s="73"/>
      <x:c r="H16" s="73"/>
      <x:c r="I16" s="73"/>
      <x:c r="J16" s="73"/>
      <x:c r="K16" s="74" t="str">
        <x:f>IF(OR(D16="",E16=""),"",IFERROR(D16/E16,""))</x:f>
      </x:c>
      <x:c r="L16" s="75" t="str">
        <x:f>IF(OR(F16="",C16=""),"",IFERROR(F16/C16*1000,""))</x:f>
      </x:c>
      <x:c r="M16" s="74" t="str">
        <x:f>IF(OR(H16="",G16=""),"",IFERROR(H16/G16,""))</x:f>
      </x:c>
      <x:c r="N16" s="74" t="str">
        <x:f>IF(OR(I16="",J16=""),"",IFERROR(I16/J16,""))</x:f>
      </x:c>
      <x:c r="O16" s="76" t="str">
        <x:f>IF(A16="","",TEXTJOIN("; ",TRUE,IF(C16&lt;=0,"Population missing/invalid",""),IF(E16&lt;=0,"TB estimated cases missing/invalid",""),IF(D16&gt;E16,"TB notified &gt; estimated incident cases",""),IF(F16&gt;C16,"Malaria cases &gt; population (review period/definition)",""),IF(G16&lt;=0,"PLHIV denominator missing/invalid",""),IF(H16&gt;G16,"ART count &gt; estimated PLHIV",""),IF(J16&lt;=0,"HIV population-at-risk missing/invalid",""),IF(I16&gt;J16,"New HIV infections &gt; population at risk","")))</x:f>
      </x:c>
    </x:row>
    <x:row r="17">
      <x:c r="A17" s="71"/>
      <x:c r="B17" s="72"/>
      <x:c r="C17" s="73"/>
      <x:c r="D17" s="73"/>
      <x:c r="E17" s="73"/>
      <x:c r="F17" s="73"/>
      <x:c r="G17" s="73"/>
      <x:c r="H17" s="73"/>
      <x:c r="I17" s="73"/>
      <x:c r="J17" s="73"/>
      <x:c r="K17" s="74" t="str">
        <x:f>IF(OR(D17="",E17=""),"",IFERROR(D17/E17,""))</x:f>
      </x:c>
      <x:c r="L17" s="75" t="str">
        <x:f>IF(OR(F17="",C17=""),"",IFERROR(F17/C17*1000,""))</x:f>
      </x:c>
      <x:c r="M17" s="74" t="str">
        <x:f>IF(OR(H17="",G17=""),"",IFERROR(H17/G17,""))</x:f>
      </x:c>
      <x:c r="N17" s="74" t="str">
        <x:f>IF(OR(I17="",J17=""),"",IFERROR(I17/J17,""))</x:f>
      </x:c>
      <x:c r="O17" s="76" t="str">
        <x:f>IF(A17="","",TEXTJOIN("; ",TRUE,IF(C17&lt;=0,"Population missing/invalid",""),IF(E17&lt;=0,"TB estimated cases missing/invalid",""),IF(D17&gt;E17,"TB notified &gt; estimated incident cases",""),IF(F17&gt;C17,"Malaria cases &gt; population (review period/definition)",""),IF(G17&lt;=0,"PLHIV denominator missing/invalid",""),IF(H17&gt;G17,"ART count &gt; estimated PLHIV",""),IF(J17&lt;=0,"HIV population-at-risk missing/invalid",""),IF(I17&gt;J17,"New HIV infections &gt; population at risk","")))</x:f>
      </x:c>
    </x:row>
    <x:row r="18">
      <x:c r="A18" s="71"/>
      <x:c r="B18" s="72"/>
      <x:c r="C18" s="73"/>
      <x:c r="D18" s="73"/>
      <x:c r="E18" s="73"/>
      <x:c r="F18" s="73"/>
      <x:c r="G18" s="73"/>
      <x:c r="H18" s="73"/>
      <x:c r="I18" s="73"/>
      <x:c r="J18" s="73"/>
      <x:c r="K18" s="74" t="str">
        <x:f>IF(OR(D18="",E18=""),"",IFERROR(D18/E18,""))</x:f>
      </x:c>
      <x:c r="L18" s="75" t="str">
        <x:f>IF(OR(F18="",C18=""),"",IFERROR(F18/C18*1000,""))</x:f>
      </x:c>
      <x:c r="M18" s="74" t="str">
        <x:f>IF(OR(H18="",G18=""),"",IFERROR(H18/G18,""))</x:f>
      </x:c>
      <x:c r="N18" s="74" t="str">
        <x:f>IF(OR(I18="",J18=""),"",IFERROR(I18/J18,""))</x:f>
      </x:c>
      <x:c r="O18" s="76" t="str">
        <x:f>IF(A18="","",TEXTJOIN("; ",TRUE,IF(C18&lt;=0,"Population missing/invalid",""),IF(E18&lt;=0,"TB estimated cases missing/invalid",""),IF(D18&gt;E18,"TB notified &gt; estimated incident cases",""),IF(F18&gt;C18,"Malaria cases &gt; population (review period/definition)",""),IF(G18&lt;=0,"PLHIV denominator missing/invalid",""),IF(H18&gt;G18,"ART count &gt; estimated PLHIV",""),IF(J18&lt;=0,"HIV population-at-risk missing/invalid",""),IF(I18&gt;J18,"New HIV infections &gt; population at risk","")))</x:f>
      </x:c>
    </x:row>
    <x:row r="19">
      <x:c r="A19" s="71"/>
      <x:c r="B19" s="72"/>
      <x:c r="C19" s="73"/>
      <x:c r="D19" s="73"/>
      <x:c r="E19" s="73"/>
      <x:c r="F19" s="73"/>
      <x:c r="G19" s="73"/>
      <x:c r="H19" s="73"/>
      <x:c r="I19" s="73"/>
      <x:c r="J19" s="73"/>
      <x:c r="K19" s="74" t="str">
        <x:f>IF(OR(D19="",E19=""),"",IFERROR(D19/E19,""))</x:f>
      </x:c>
      <x:c r="L19" s="75" t="str">
        <x:f>IF(OR(F19="",C19=""),"",IFERROR(F19/C19*1000,""))</x:f>
      </x:c>
      <x:c r="M19" s="74" t="str">
        <x:f>IF(OR(H19="",G19=""),"",IFERROR(H19/G19,""))</x:f>
      </x:c>
      <x:c r="N19" s="74" t="str">
        <x:f>IF(OR(I19="",J19=""),"",IFERROR(I19/J19,""))</x:f>
      </x:c>
      <x:c r="O19" s="76" t="str">
        <x:f>IF(A19="","",TEXTJOIN("; ",TRUE,IF(C19&lt;=0,"Population missing/invalid",""),IF(E19&lt;=0,"TB estimated cases missing/invalid",""),IF(D19&gt;E19,"TB notified &gt; estimated incident cases",""),IF(F19&gt;C19,"Malaria cases &gt; population (review period/definition)",""),IF(G19&lt;=0,"PLHIV denominator missing/invalid",""),IF(H19&gt;G19,"ART count &gt; estimated PLHIV",""),IF(J19&lt;=0,"HIV population-at-risk missing/invalid",""),IF(I19&gt;J19,"New HIV infections &gt; population at risk","")))</x:f>
      </x:c>
    </x:row>
    <x:row r="20">
      <x:c r="A20" s="71"/>
      <x:c r="B20" s="72"/>
      <x:c r="C20" s="73"/>
      <x:c r="D20" s="73"/>
      <x:c r="E20" s="73"/>
      <x:c r="F20" s="73"/>
      <x:c r="G20" s="73"/>
      <x:c r="H20" s="73"/>
      <x:c r="I20" s="73"/>
      <x:c r="J20" s="73"/>
      <x:c r="K20" s="74" t="str">
        <x:f>IF(OR(D20="",E20=""),"",IFERROR(D20/E20,""))</x:f>
      </x:c>
      <x:c r="L20" s="75" t="str">
        <x:f>IF(OR(F20="",C20=""),"",IFERROR(F20/C20*1000,""))</x:f>
      </x:c>
      <x:c r="M20" s="74" t="str">
        <x:f>IF(OR(H20="",G20=""),"",IFERROR(H20/G20,""))</x:f>
      </x:c>
      <x:c r="N20" s="74" t="str">
        <x:f>IF(OR(I20="",J20=""),"",IFERROR(I20/J20,""))</x:f>
      </x:c>
      <x:c r="O20" s="76" t="str">
        <x:f>IF(A20="","",TEXTJOIN("; ",TRUE,IF(C20&lt;=0,"Population missing/invalid",""),IF(E20&lt;=0,"TB estimated cases missing/invalid",""),IF(D20&gt;E20,"TB notified &gt; estimated incident cases",""),IF(F20&gt;C20,"Malaria cases &gt; population (review period/definition)",""),IF(G20&lt;=0,"PLHIV denominator missing/invalid",""),IF(H20&gt;G20,"ART count &gt; estimated PLHIV",""),IF(J20&lt;=0,"HIV population-at-risk missing/invalid",""),IF(I20&gt;J20,"New HIV infections &gt; population at risk","")))</x:f>
      </x:c>
    </x:row>
    <x:row r="21">
      <x:c r="A21" s="71"/>
      <x:c r="B21" s="72"/>
      <x:c r="C21" s="73"/>
      <x:c r="D21" s="73"/>
      <x:c r="E21" s="73"/>
      <x:c r="F21" s="73"/>
      <x:c r="G21" s="73"/>
      <x:c r="H21" s="73"/>
      <x:c r="I21" s="73"/>
      <x:c r="J21" s="73"/>
      <x:c r="K21" s="74" t="str">
        <x:f>IF(OR(D21="",E21=""),"",IFERROR(D21/E21,""))</x:f>
      </x:c>
      <x:c r="L21" s="75" t="str">
        <x:f>IF(OR(F21="",C21=""),"",IFERROR(F21/C21*1000,""))</x:f>
      </x:c>
      <x:c r="M21" s="74" t="str">
        <x:f>IF(OR(H21="",G21=""),"",IFERROR(H21/G21,""))</x:f>
      </x:c>
      <x:c r="N21" s="74" t="str">
        <x:f>IF(OR(I21="",J21=""),"",IFERROR(I21/J21,""))</x:f>
      </x:c>
      <x:c r="O21" s="76" t="str">
        <x:f>IF(A21="","",TEXTJOIN("; ",TRUE,IF(C21&lt;=0,"Population missing/invalid",""),IF(E21&lt;=0,"TB estimated cases missing/invalid",""),IF(D21&gt;E21,"TB notified &gt; estimated incident cases",""),IF(F21&gt;C21,"Malaria cases &gt; population (review period/definition)",""),IF(G21&lt;=0,"PLHIV denominator missing/invalid",""),IF(H21&gt;G21,"ART count &gt; estimated PLHIV",""),IF(J21&lt;=0,"HIV population-at-risk missing/invalid",""),IF(I21&gt;J21,"New HIV infections &gt; population at risk","")))</x:f>
      </x:c>
    </x:row>
    <x:row r="22">
      <x:c r="A22" s="71"/>
      <x:c r="B22" s="72"/>
      <x:c r="C22" s="73"/>
      <x:c r="D22" s="73"/>
      <x:c r="E22" s="73"/>
      <x:c r="F22" s="73"/>
      <x:c r="G22" s="73"/>
      <x:c r="H22" s="73"/>
      <x:c r="I22" s="73"/>
      <x:c r="J22" s="73"/>
      <x:c r="K22" s="74" t="str">
        <x:f>IF(OR(D22="",E22=""),"",IFERROR(D22/E22,""))</x:f>
      </x:c>
      <x:c r="L22" s="75" t="str">
        <x:f>IF(OR(F22="",C22=""),"",IFERROR(F22/C22*1000,""))</x:f>
      </x:c>
      <x:c r="M22" s="74" t="str">
        <x:f>IF(OR(H22="",G22=""),"",IFERROR(H22/G22,""))</x:f>
      </x:c>
      <x:c r="N22" s="74" t="str">
        <x:f>IF(OR(I22="",J22=""),"",IFERROR(I22/J22,""))</x:f>
      </x:c>
      <x:c r="O22" s="76" t="str">
        <x:f>IF(A22="","",TEXTJOIN("; ",TRUE,IF(C22&lt;=0,"Population missing/invalid",""),IF(E22&lt;=0,"TB estimated cases missing/invalid",""),IF(D22&gt;E22,"TB notified &gt; estimated incident cases",""),IF(F22&gt;C22,"Malaria cases &gt; population (review period/definition)",""),IF(G22&lt;=0,"PLHIV denominator missing/invalid",""),IF(H22&gt;G22,"ART count &gt; estimated PLHIV",""),IF(J22&lt;=0,"HIV population-at-risk missing/invalid",""),IF(I22&gt;J22,"New HIV infections &gt; population at risk","")))</x:f>
      </x:c>
    </x:row>
    <x:row r="23">
      <x:c r="A23" s="71"/>
      <x:c r="B23" s="72"/>
      <x:c r="C23" s="73"/>
      <x:c r="D23" s="73"/>
      <x:c r="E23" s="73"/>
      <x:c r="F23" s="73"/>
      <x:c r="G23" s="73"/>
      <x:c r="H23" s="73"/>
      <x:c r="I23" s="73"/>
      <x:c r="J23" s="73"/>
      <x:c r="K23" s="74" t="str">
        <x:f>IF(OR(D23="",E23=""),"",IFERROR(D23/E23,""))</x:f>
      </x:c>
      <x:c r="L23" s="75" t="str">
        <x:f>IF(OR(F23="",C23=""),"",IFERROR(F23/C23*1000,""))</x:f>
      </x:c>
      <x:c r="M23" s="74" t="str">
        <x:f>IF(OR(H23="",G23=""),"",IFERROR(H23/G23,""))</x:f>
      </x:c>
      <x:c r="N23" s="74" t="str">
        <x:f>IF(OR(I23="",J23=""),"",IFERROR(I23/J23,""))</x:f>
      </x:c>
      <x:c r="O23" s="76" t="str">
        <x:f>IF(A23="","",TEXTJOIN("; ",TRUE,IF(C23&lt;=0,"Population missing/invalid",""),IF(E23&lt;=0,"TB estimated cases missing/invalid",""),IF(D23&gt;E23,"TB notified &gt; estimated incident cases",""),IF(F23&gt;C23,"Malaria cases &gt; population (review period/definition)",""),IF(G23&lt;=0,"PLHIV denominator missing/invalid",""),IF(H23&gt;G23,"ART count &gt; estimated PLHIV",""),IF(J23&lt;=0,"HIV population-at-risk missing/invalid",""),IF(I23&gt;J23,"New HIV infections &gt; population at risk","")))</x:f>
      </x:c>
    </x:row>
    <x:row r="24">
      <x:c r="A24" s="71"/>
      <x:c r="B24" s="72"/>
      <x:c r="C24" s="73"/>
      <x:c r="D24" s="73"/>
      <x:c r="E24" s="73"/>
      <x:c r="F24" s="73"/>
      <x:c r="G24" s="73"/>
      <x:c r="H24" s="73"/>
      <x:c r="I24" s="73"/>
      <x:c r="J24" s="73"/>
      <x:c r="K24" s="74" t="str">
        <x:f>IF(OR(D24="",E24=""),"",IFERROR(D24/E24,""))</x:f>
      </x:c>
      <x:c r="L24" s="75" t="str">
        <x:f>IF(OR(F24="",C24=""),"",IFERROR(F24/C24*1000,""))</x:f>
      </x:c>
      <x:c r="M24" s="74" t="str">
        <x:f>IF(OR(H24="",G24=""),"",IFERROR(H24/G24,""))</x:f>
      </x:c>
      <x:c r="N24" s="74" t="str">
        <x:f>IF(OR(I24="",J24=""),"",IFERROR(I24/J24,""))</x:f>
      </x:c>
      <x:c r="O24" s="76" t="str">
        <x:f>IF(A24="","",TEXTJOIN("; ",TRUE,IF(C24&lt;=0,"Population missing/invalid",""),IF(E24&lt;=0,"TB estimated cases missing/invalid",""),IF(D24&gt;E24,"TB notified &gt; estimated incident cases",""),IF(F24&gt;C24,"Malaria cases &gt; population (review period/definition)",""),IF(G24&lt;=0,"PLHIV denominator missing/invalid",""),IF(H24&gt;G24,"ART count &gt; estimated PLHIV",""),IF(J24&lt;=0,"HIV population-at-risk missing/invalid",""),IF(I24&gt;J24,"New HIV infections &gt; population at risk","")))</x:f>
      </x:c>
    </x:row>
    <x:row r="25">
      <x:c r="A25" s="71"/>
      <x:c r="B25" s="72"/>
      <x:c r="C25" s="73"/>
      <x:c r="D25" s="73"/>
      <x:c r="E25" s="73"/>
      <x:c r="F25" s="73"/>
      <x:c r="G25" s="73"/>
      <x:c r="H25" s="73"/>
      <x:c r="I25" s="73"/>
      <x:c r="J25" s="73"/>
      <x:c r="K25" s="74" t="str">
        <x:f>IF(OR(D25="",E25=""),"",IFERROR(D25/E25,""))</x:f>
      </x:c>
      <x:c r="L25" s="75" t="str">
        <x:f>IF(OR(F25="",C25=""),"",IFERROR(F25/C25*1000,""))</x:f>
      </x:c>
      <x:c r="M25" s="74" t="str">
        <x:f>IF(OR(H25="",G25=""),"",IFERROR(H25/G25,""))</x:f>
      </x:c>
      <x:c r="N25" s="74" t="str">
        <x:f>IF(OR(I25="",J25=""),"",IFERROR(I25/J25,""))</x:f>
      </x:c>
      <x:c r="O25" s="76" t="str">
        <x:f>IF(A25="","",TEXTJOIN("; ",TRUE,IF(C25&lt;=0,"Population missing/invalid",""),IF(E25&lt;=0,"TB estimated cases missing/invalid",""),IF(D25&gt;E25,"TB notified &gt; estimated incident cases",""),IF(F25&gt;C25,"Malaria cases &gt; population (review period/definition)",""),IF(G25&lt;=0,"PLHIV denominator missing/invalid",""),IF(H25&gt;G25,"ART count &gt; estimated PLHIV",""),IF(J25&lt;=0,"HIV population-at-risk missing/invalid",""),IF(I25&gt;J25,"New HIV infections &gt; population at risk","")))</x:f>
      </x:c>
    </x:row>
    <x:row r="26">
      <x:c r="A26" s="71"/>
      <x:c r="B26" s="72"/>
      <x:c r="C26" s="73"/>
      <x:c r="D26" s="73"/>
      <x:c r="E26" s="73"/>
      <x:c r="F26" s="73"/>
      <x:c r="G26" s="73"/>
      <x:c r="H26" s="73"/>
      <x:c r="I26" s="73"/>
      <x:c r="J26" s="73"/>
      <x:c r="K26" s="74" t="str">
        <x:f>IF(OR(D26="",E26=""),"",IFERROR(D26/E26,""))</x:f>
      </x:c>
      <x:c r="L26" s="75" t="str">
        <x:f>IF(OR(F26="",C26=""),"",IFERROR(F26/C26*1000,""))</x:f>
      </x:c>
      <x:c r="M26" s="74" t="str">
        <x:f>IF(OR(H26="",G26=""),"",IFERROR(H26/G26,""))</x:f>
      </x:c>
      <x:c r="N26" s="74" t="str">
        <x:f>IF(OR(I26="",J26=""),"",IFERROR(I26/J26,""))</x:f>
      </x:c>
      <x:c r="O26" s="76" t="str">
        <x:f>IF(A26="","",TEXTJOIN("; ",TRUE,IF(C26&lt;=0,"Population missing/invalid",""),IF(E26&lt;=0,"TB estimated cases missing/invalid",""),IF(D26&gt;E26,"TB notified &gt; estimated incident cases",""),IF(F26&gt;C26,"Malaria cases &gt; population (review period/definition)",""),IF(G26&lt;=0,"PLHIV denominator missing/invalid",""),IF(H26&gt;G26,"ART count &gt; estimated PLHIV",""),IF(J26&lt;=0,"HIV population-at-risk missing/invalid",""),IF(I26&gt;J26,"New HIV infections &gt; population at risk","")))</x:f>
      </x:c>
    </x:row>
    <x:row r="27">
      <x:c r="A27" s="71"/>
      <x:c r="B27" s="72"/>
      <x:c r="C27" s="73"/>
      <x:c r="D27" s="73"/>
      <x:c r="E27" s="73"/>
      <x:c r="F27" s="73"/>
      <x:c r="G27" s="73"/>
      <x:c r="H27" s="73"/>
      <x:c r="I27" s="73"/>
      <x:c r="J27" s="73"/>
      <x:c r="K27" s="74" t="str">
        <x:f>IF(OR(D27="",E27=""),"",IFERROR(D27/E27,""))</x:f>
      </x:c>
      <x:c r="L27" s="75" t="str">
        <x:f>IF(OR(F27="",C27=""),"",IFERROR(F27/C27*1000,""))</x:f>
      </x:c>
      <x:c r="M27" s="74" t="str">
        <x:f>IF(OR(H27="",G27=""),"",IFERROR(H27/G27,""))</x:f>
      </x:c>
      <x:c r="N27" s="74" t="str">
        <x:f>IF(OR(I27="",J27=""),"",IFERROR(I27/J27,""))</x:f>
      </x:c>
      <x:c r="O27" s="76" t="str">
        <x:f>IF(A27="","",TEXTJOIN("; ",TRUE,IF(C27&lt;=0,"Population missing/invalid",""),IF(E27&lt;=0,"TB estimated cases missing/invalid",""),IF(D27&gt;E27,"TB notified &gt; estimated incident cases",""),IF(F27&gt;C27,"Malaria cases &gt; population (review period/definition)",""),IF(G27&lt;=0,"PLHIV denominator missing/invalid",""),IF(H27&gt;G27,"ART count &gt; estimated PLHIV",""),IF(J27&lt;=0,"HIV population-at-risk missing/invalid",""),IF(I27&gt;J27,"New HIV infections &gt; population at risk","")))</x:f>
      </x:c>
    </x:row>
    <x:row r="28">
      <x:c r="A28" s="71"/>
      <x:c r="B28" s="72"/>
      <x:c r="C28" s="73"/>
      <x:c r="D28" s="73"/>
      <x:c r="E28" s="73"/>
      <x:c r="F28" s="73"/>
      <x:c r="G28" s="73"/>
      <x:c r="H28" s="73"/>
      <x:c r="I28" s="73"/>
      <x:c r="J28" s="73"/>
      <x:c r="K28" s="74" t="str">
        <x:f>IF(OR(D28="",E28=""),"",IFERROR(D28/E28,""))</x:f>
      </x:c>
      <x:c r="L28" s="75" t="str">
        <x:f>IF(OR(F28="",C28=""),"",IFERROR(F28/C28*1000,""))</x:f>
      </x:c>
      <x:c r="M28" s="74" t="str">
        <x:f>IF(OR(H28="",G28=""),"",IFERROR(H28/G28,""))</x:f>
      </x:c>
      <x:c r="N28" s="74" t="str">
        <x:f>IF(OR(I28="",J28=""),"",IFERROR(I28/J28,""))</x:f>
      </x:c>
      <x:c r="O28" s="76" t="str">
        <x:f>IF(A28="","",TEXTJOIN("; ",TRUE,IF(C28&lt;=0,"Population missing/invalid",""),IF(E28&lt;=0,"TB estimated cases missing/invalid",""),IF(D28&gt;E28,"TB notified &gt; estimated incident cases",""),IF(F28&gt;C28,"Malaria cases &gt; population (review period/definition)",""),IF(G28&lt;=0,"PLHIV denominator missing/invalid",""),IF(H28&gt;G28,"ART count &gt; estimated PLHIV",""),IF(J28&lt;=0,"HIV population-at-risk missing/invalid",""),IF(I28&gt;J28,"New HIV infections &gt; population at risk","")))</x:f>
      </x:c>
    </x:row>
    <x:row r="29">
      <x:c r="A29" s="71"/>
      <x:c r="B29" s="72"/>
      <x:c r="C29" s="73"/>
      <x:c r="D29" s="73"/>
      <x:c r="E29" s="73"/>
      <x:c r="F29" s="73"/>
      <x:c r="G29" s="73"/>
      <x:c r="H29" s="73"/>
      <x:c r="I29" s="73"/>
      <x:c r="J29" s="73"/>
      <x:c r="K29" s="74" t="str">
        <x:f>IF(OR(D29="",E29=""),"",IFERROR(D29/E29,""))</x:f>
      </x:c>
      <x:c r="L29" s="75" t="str">
        <x:f>IF(OR(F29="",C29=""),"",IFERROR(F29/C29*1000,""))</x:f>
      </x:c>
      <x:c r="M29" s="74" t="str">
        <x:f>IF(OR(H29="",G29=""),"",IFERROR(H29/G29,""))</x:f>
      </x:c>
      <x:c r="N29" s="74" t="str">
        <x:f>IF(OR(I29="",J29=""),"",IFERROR(I29/J29,""))</x:f>
      </x:c>
      <x:c r="O29" s="76" t="str">
        <x:f>IF(A29="","",TEXTJOIN("; ",TRUE,IF(C29&lt;=0,"Population missing/invalid",""),IF(E29&lt;=0,"TB estimated cases missing/invalid",""),IF(D29&gt;E29,"TB notified &gt; estimated incident cases",""),IF(F29&gt;C29,"Malaria cases &gt; population (review period/definition)",""),IF(G29&lt;=0,"PLHIV denominator missing/invalid",""),IF(H29&gt;G29,"ART count &gt; estimated PLHIV",""),IF(J29&lt;=0,"HIV population-at-risk missing/invalid",""),IF(I29&gt;J29,"New HIV infections &gt; population at risk","")))</x:f>
      </x:c>
    </x:row>
    <x:row r="30">
      <x:c r="A30" s="71"/>
      <x:c r="B30" s="72"/>
      <x:c r="C30" s="73"/>
      <x:c r="D30" s="73"/>
      <x:c r="E30" s="73"/>
      <x:c r="F30" s="73"/>
      <x:c r="G30" s="73"/>
      <x:c r="H30" s="73"/>
      <x:c r="I30" s="73"/>
      <x:c r="J30" s="73"/>
      <x:c r="K30" s="74" t="str">
        <x:f>IF(OR(D30="",E30=""),"",IFERROR(D30/E30,""))</x:f>
      </x:c>
      <x:c r="L30" s="75" t="str">
        <x:f>IF(OR(F30="",C30=""),"",IFERROR(F30/C30*1000,""))</x:f>
      </x:c>
      <x:c r="M30" s="74" t="str">
        <x:f>IF(OR(H30="",G30=""),"",IFERROR(H30/G30,""))</x:f>
      </x:c>
      <x:c r="N30" s="74" t="str">
        <x:f>IF(OR(I30="",J30=""),"",IFERROR(I30/J30,""))</x:f>
      </x:c>
      <x:c r="O30" s="76" t="str">
        <x:f>IF(A30="","",TEXTJOIN("; ",TRUE,IF(C30&lt;=0,"Population missing/invalid",""),IF(E30&lt;=0,"TB estimated cases missing/invalid",""),IF(D30&gt;E30,"TB notified &gt; estimated incident cases",""),IF(F30&gt;C30,"Malaria cases &gt; population (review period/definition)",""),IF(G30&lt;=0,"PLHIV denominator missing/invalid",""),IF(H30&gt;G30,"ART count &gt; estimated PLHIV",""),IF(J30&lt;=0,"HIV population-at-risk missing/invalid",""),IF(I30&gt;J30,"New HIV infections &gt; population at risk","")))</x:f>
      </x:c>
    </x:row>
    <x:row r="31">
      <x:c r="A31" s="71"/>
      <x:c r="B31" s="72"/>
      <x:c r="C31" s="73"/>
      <x:c r="D31" s="73"/>
      <x:c r="E31" s="73"/>
      <x:c r="F31" s="73"/>
      <x:c r="G31" s="73"/>
      <x:c r="H31" s="73"/>
      <x:c r="I31" s="73"/>
      <x:c r="J31" s="73"/>
      <x:c r="K31" s="74" t="str">
        <x:f>IF(OR(D31="",E31=""),"",IFERROR(D31/E31,""))</x:f>
      </x:c>
      <x:c r="L31" s="75" t="str">
        <x:f>IF(OR(F31="",C31=""),"",IFERROR(F31/C31*1000,""))</x:f>
      </x:c>
      <x:c r="M31" s="74" t="str">
        <x:f>IF(OR(H31="",G31=""),"",IFERROR(H31/G31,""))</x:f>
      </x:c>
      <x:c r="N31" s="74" t="str">
        <x:f>IF(OR(I31="",J31=""),"",IFERROR(I31/J31,""))</x:f>
      </x:c>
      <x:c r="O31" s="76" t="str">
        <x:f>IF(A31="","",TEXTJOIN("; ",TRUE,IF(C31&lt;=0,"Population missing/invalid",""),IF(E31&lt;=0,"TB estimated cases missing/invalid",""),IF(D31&gt;E31,"TB notified &gt; estimated incident cases",""),IF(F31&gt;C31,"Malaria cases &gt; population (review period/definition)",""),IF(G31&lt;=0,"PLHIV denominator missing/invalid",""),IF(H31&gt;G31,"ART count &gt; estimated PLHIV",""),IF(J31&lt;=0,"HIV population-at-risk missing/invalid",""),IF(I31&gt;J31,"New HIV infections &gt; population at risk","")))</x:f>
      </x:c>
    </x:row>
    <x:row r="32">
      <x:c r="A32" s="71"/>
      <x:c r="B32" s="72"/>
      <x:c r="C32" s="73"/>
      <x:c r="D32" s="73"/>
      <x:c r="E32" s="73"/>
      <x:c r="F32" s="73"/>
      <x:c r="G32" s="73"/>
      <x:c r="H32" s="73"/>
      <x:c r="I32" s="73"/>
      <x:c r="J32" s="73"/>
      <x:c r="K32" s="74" t="str">
        <x:f>IF(OR(D32="",E32=""),"",IFERROR(D32/E32,""))</x:f>
      </x:c>
      <x:c r="L32" s="75" t="str">
        <x:f>IF(OR(F32="",C32=""),"",IFERROR(F32/C32*1000,""))</x:f>
      </x:c>
      <x:c r="M32" s="74" t="str">
        <x:f>IF(OR(H32="",G32=""),"",IFERROR(H32/G32,""))</x:f>
      </x:c>
      <x:c r="N32" s="74" t="str">
        <x:f>IF(OR(I32="",J32=""),"",IFERROR(I32/J32,""))</x:f>
      </x:c>
      <x:c r="O32" s="76" t="str">
        <x:f>IF(A32="","",TEXTJOIN("; ",TRUE,IF(C32&lt;=0,"Population missing/invalid",""),IF(E32&lt;=0,"TB estimated cases missing/invalid",""),IF(D32&gt;E32,"TB notified &gt; estimated incident cases",""),IF(F32&gt;C32,"Malaria cases &gt; population (review period/definition)",""),IF(G32&lt;=0,"PLHIV denominator missing/invalid",""),IF(H32&gt;G32,"ART count &gt; estimated PLHIV",""),IF(J32&lt;=0,"HIV population-at-risk missing/invalid",""),IF(I32&gt;J32,"New HIV infections &gt; population at risk","")))</x:f>
      </x:c>
    </x:row>
    <x:row r="33">
      <x:c r="A33" s="71"/>
      <x:c r="B33" s="72"/>
      <x:c r="C33" s="73"/>
      <x:c r="D33" s="73"/>
      <x:c r="E33" s="73"/>
      <x:c r="F33" s="73"/>
      <x:c r="G33" s="73"/>
      <x:c r="H33" s="73"/>
      <x:c r="I33" s="73"/>
      <x:c r="J33" s="73"/>
      <x:c r="K33" s="74" t="str">
        <x:f>IF(OR(D33="",E33=""),"",IFERROR(D33/E33,""))</x:f>
      </x:c>
      <x:c r="L33" s="75" t="str">
        <x:f>IF(OR(F33="",C33=""),"",IFERROR(F33/C33*1000,""))</x:f>
      </x:c>
      <x:c r="M33" s="74" t="str">
        <x:f>IF(OR(H33="",G33=""),"",IFERROR(H33/G33,""))</x:f>
      </x:c>
      <x:c r="N33" s="74" t="str">
        <x:f>IF(OR(I33="",J33=""),"",IFERROR(I33/J33,""))</x:f>
      </x:c>
      <x:c r="O33" s="76" t="str">
        <x:f>IF(A33="","",TEXTJOIN("; ",TRUE,IF(C33&lt;=0,"Population missing/invalid",""),IF(E33&lt;=0,"TB estimated cases missing/invalid",""),IF(D33&gt;E33,"TB notified &gt; estimated incident cases",""),IF(F33&gt;C33,"Malaria cases &gt; population (review period/definition)",""),IF(G33&lt;=0,"PLHIV denominator missing/invalid",""),IF(H33&gt;G33,"ART count &gt; estimated PLHIV",""),IF(J33&lt;=0,"HIV population-at-risk missing/invalid",""),IF(I33&gt;J33,"New HIV infections &gt; population at risk","")))</x:f>
      </x:c>
    </x:row>
    <x:row r="34">
      <x:c r="A34" s="71"/>
      <x:c r="B34" s="72"/>
      <x:c r="C34" s="73"/>
      <x:c r="D34" s="73"/>
      <x:c r="E34" s="73"/>
      <x:c r="F34" s="73"/>
      <x:c r="G34" s="73"/>
      <x:c r="H34" s="73"/>
      <x:c r="I34" s="73"/>
      <x:c r="J34" s="73"/>
      <x:c r="K34" s="74" t="str">
        <x:f>IF(OR(D34="",E34=""),"",IFERROR(D34/E34,""))</x:f>
      </x:c>
      <x:c r="L34" s="75" t="str">
        <x:f>IF(OR(F34="",C34=""),"",IFERROR(F34/C34*1000,""))</x:f>
      </x:c>
      <x:c r="M34" s="74" t="str">
        <x:f>IF(OR(H34="",G34=""),"",IFERROR(H34/G34,""))</x:f>
      </x:c>
      <x:c r="N34" s="74" t="str">
        <x:f>IF(OR(I34="",J34=""),"",IFERROR(I34/J34,""))</x:f>
      </x:c>
      <x:c r="O34" s="76" t="str">
        <x:f>IF(A34="","",TEXTJOIN("; ",TRUE,IF(C34&lt;=0,"Population missing/invalid",""),IF(E34&lt;=0,"TB estimated cases missing/invalid",""),IF(D34&gt;E34,"TB notified &gt; estimated incident cases",""),IF(F34&gt;C34,"Malaria cases &gt; population (review period/definition)",""),IF(G34&lt;=0,"PLHIV denominator missing/invalid",""),IF(H34&gt;G34,"ART count &gt; estimated PLHIV",""),IF(J34&lt;=0,"HIV population-at-risk missing/invalid",""),IF(I34&gt;J34,"New HIV infections &gt; population at risk","")))</x:f>
      </x:c>
    </x:row>
    <x:row r="35">
      <x:c r="A35" s="71"/>
      <x:c r="B35" s="72"/>
      <x:c r="C35" s="73"/>
      <x:c r="D35" s="73"/>
      <x:c r="E35" s="73"/>
      <x:c r="F35" s="73"/>
      <x:c r="G35" s="73"/>
      <x:c r="H35" s="73"/>
      <x:c r="I35" s="73"/>
      <x:c r="J35" s="73"/>
      <x:c r="K35" s="74" t="str">
        <x:f>IF(OR(D35="",E35=""),"",IFERROR(D35/E35,""))</x:f>
      </x:c>
      <x:c r="L35" s="75" t="str">
        <x:f>IF(OR(F35="",C35=""),"",IFERROR(F35/C35*1000,""))</x:f>
      </x:c>
      <x:c r="M35" s="74" t="str">
        <x:f>IF(OR(H35="",G35=""),"",IFERROR(H35/G35,""))</x:f>
      </x:c>
      <x:c r="N35" s="74" t="str">
        <x:f>IF(OR(I35="",J35=""),"",IFERROR(I35/J35,""))</x:f>
      </x:c>
      <x:c r="O35" s="76" t="str">
        <x:f>IF(A35="","",TEXTJOIN("; ",TRUE,IF(C35&lt;=0,"Population missing/invalid",""),IF(E35&lt;=0,"TB estimated cases missing/invalid",""),IF(D35&gt;E35,"TB notified &gt; estimated incident cases",""),IF(F35&gt;C35,"Malaria cases &gt; population (review period/definition)",""),IF(G35&lt;=0,"PLHIV denominator missing/invalid",""),IF(H35&gt;G35,"ART count &gt; estimated PLHIV",""),IF(J35&lt;=0,"HIV population-at-risk missing/invalid",""),IF(I35&gt;J35,"New HIV infections &gt; population at risk","")))</x:f>
      </x:c>
    </x:row>
    <x:row r="36">
      <x:c r="A36" s="71"/>
      <x:c r="B36" s="72"/>
      <x:c r="C36" s="73"/>
      <x:c r="D36" s="73"/>
      <x:c r="E36" s="73"/>
      <x:c r="F36" s="73"/>
      <x:c r="G36" s="73"/>
      <x:c r="H36" s="73"/>
      <x:c r="I36" s="73"/>
      <x:c r="J36" s="73"/>
      <x:c r="K36" s="74" t="str">
        <x:f>IF(OR(D36="",E36=""),"",IFERROR(D36/E36,""))</x:f>
      </x:c>
      <x:c r="L36" s="75" t="str">
        <x:f>IF(OR(F36="",C36=""),"",IFERROR(F36/C36*1000,""))</x:f>
      </x:c>
      <x:c r="M36" s="74" t="str">
        <x:f>IF(OR(H36="",G36=""),"",IFERROR(H36/G36,""))</x:f>
      </x:c>
      <x:c r="N36" s="74" t="str">
        <x:f>IF(OR(I36="",J36=""),"",IFERROR(I36/J36,""))</x:f>
      </x:c>
      <x:c r="O36" s="76" t="str">
        <x:f>IF(A36="","",TEXTJOIN("; ",TRUE,IF(C36&lt;=0,"Population missing/invalid",""),IF(E36&lt;=0,"TB estimated cases missing/invalid",""),IF(D36&gt;E36,"TB notified &gt; estimated incident cases",""),IF(F36&gt;C36,"Malaria cases &gt; population (review period/definition)",""),IF(G36&lt;=0,"PLHIV denominator missing/invalid",""),IF(H36&gt;G36,"ART count &gt; estimated PLHIV",""),IF(J36&lt;=0,"HIV population-at-risk missing/invalid",""),IF(I36&gt;J36,"New HIV infections &gt; population at risk","")))</x:f>
      </x:c>
    </x:row>
    <x:row r="37">
      <x:c r="A37" s="71"/>
      <x:c r="B37" s="72"/>
      <x:c r="C37" s="73"/>
      <x:c r="D37" s="73"/>
      <x:c r="E37" s="73"/>
      <x:c r="F37" s="73"/>
      <x:c r="G37" s="73"/>
      <x:c r="H37" s="73"/>
      <x:c r="I37" s="73"/>
      <x:c r="J37" s="73"/>
      <x:c r="K37" s="74" t="str">
        <x:f>IF(OR(D37="",E37=""),"",IFERROR(D37/E37,""))</x:f>
      </x:c>
      <x:c r="L37" s="75" t="str">
        <x:f>IF(OR(F37="",C37=""),"",IFERROR(F37/C37*1000,""))</x:f>
      </x:c>
      <x:c r="M37" s="74" t="str">
        <x:f>IF(OR(H37="",G37=""),"",IFERROR(H37/G37,""))</x:f>
      </x:c>
      <x:c r="N37" s="74" t="str">
        <x:f>IF(OR(I37="",J37=""),"",IFERROR(I37/J37,""))</x:f>
      </x:c>
      <x:c r="O37" s="76" t="str">
        <x:f>IF(A37="","",TEXTJOIN("; ",TRUE,IF(C37&lt;=0,"Population missing/invalid",""),IF(E37&lt;=0,"TB estimated cases missing/invalid",""),IF(D37&gt;E37,"TB notified &gt; estimated incident cases",""),IF(F37&gt;C37,"Malaria cases &gt; population (review period/definition)",""),IF(G37&lt;=0,"PLHIV denominator missing/invalid",""),IF(H37&gt;G37,"ART count &gt; estimated PLHIV",""),IF(J37&lt;=0,"HIV population-at-risk missing/invalid",""),IF(I37&gt;J37,"New HIV infections &gt; population at risk","")))</x:f>
      </x:c>
    </x:row>
    <x:row r="38">
      <x:c r="A38" s="71"/>
      <x:c r="B38" s="72"/>
      <x:c r="C38" s="73"/>
      <x:c r="D38" s="73"/>
      <x:c r="E38" s="73"/>
      <x:c r="F38" s="73"/>
      <x:c r="G38" s="73"/>
      <x:c r="H38" s="73"/>
      <x:c r="I38" s="73"/>
      <x:c r="J38" s="73"/>
      <x:c r="K38" s="74" t="str">
        <x:f>IF(OR(D38="",E38=""),"",IFERROR(D38/E38,""))</x:f>
      </x:c>
      <x:c r="L38" s="75" t="str">
        <x:f>IF(OR(F38="",C38=""),"",IFERROR(F38/C38*1000,""))</x:f>
      </x:c>
      <x:c r="M38" s="74" t="str">
        <x:f>IF(OR(H38="",G38=""),"",IFERROR(H38/G38,""))</x:f>
      </x:c>
      <x:c r="N38" s="74" t="str">
        <x:f>IF(OR(I38="",J38=""),"",IFERROR(I38/J38,""))</x:f>
      </x:c>
      <x:c r="O38" s="76" t="str">
        <x:f>IF(A38="","",TEXTJOIN("; ",TRUE,IF(C38&lt;=0,"Population missing/invalid",""),IF(E38&lt;=0,"TB estimated cases missing/invalid",""),IF(D38&gt;E38,"TB notified &gt; estimated incident cases",""),IF(F38&gt;C38,"Malaria cases &gt; population (review period/definition)",""),IF(G38&lt;=0,"PLHIV denominator missing/invalid",""),IF(H38&gt;G38,"ART count &gt; estimated PLHIV",""),IF(J38&lt;=0,"HIV population-at-risk missing/invalid",""),IF(I38&gt;J38,"New HIV infections &gt; population at risk","")))</x:f>
      </x:c>
    </x:row>
    <x:row r="39">
      <x:c r="A39" s="71"/>
      <x:c r="B39" s="72"/>
      <x:c r="C39" s="73"/>
      <x:c r="D39" s="73"/>
      <x:c r="E39" s="73"/>
      <x:c r="F39" s="73"/>
      <x:c r="G39" s="73"/>
      <x:c r="H39" s="73"/>
      <x:c r="I39" s="73"/>
      <x:c r="J39" s="73"/>
      <x:c r="K39" s="74" t="str">
        <x:f>IF(OR(D39="",E39=""),"",IFERROR(D39/E39,""))</x:f>
      </x:c>
      <x:c r="L39" s="75" t="str">
        <x:f>IF(OR(F39="",C39=""),"",IFERROR(F39/C39*1000,""))</x:f>
      </x:c>
      <x:c r="M39" s="74" t="str">
        <x:f>IF(OR(H39="",G39=""),"",IFERROR(H39/G39,""))</x:f>
      </x:c>
      <x:c r="N39" s="74" t="str">
        <x:f>IF(OR(I39="",J39=""),"",IFERROR(I39/J39,""))</x:f>
      </x:c>
      <x:c r="O39" s="76" t="str">
        <x:f>IF(A39="","",TEXTJOIN("; ",TRUE,IF(C39&lt;=0,"Population missing/invalid",""),IF(E39&lt;=0,"TB estimated cases missing/invalid",""),IF(D39&gt;E39,"TB notified &gt; estimated incident cases",""),IF(F39&gt;C39,"Malaria cases &gt; population (review period/definition)",""),IF(G39&lt;=0,"PLHIV denominator missing/invalid",""),IF(H39&gt;G39,"ART count &gt; estimated PLHIV",""),IF(J39&lt;=0,"HIV population-at-risk missing/invalid",""),IF(I39&gt;J39,"New HIV infections &gt; population at risk","")))</x:f>
      </x:c>
    </x:row>
    <x:row r="40">
      <x:c r="A40" s="71"/>
      <x:c r="B40" s="72"/>
      <x:c r="C40" s="73"/>
      <x:c r="D40" s="73"/>
      <x:c r="E40" s="73"/>
      <x:c r="F40" s="73"/>
      <x:c r="G40" s="73"/>
      <x:c r="H40" s="73"/>
      <x:c r="I40" s="73"/>
      <x:c r="J40" s="73"/>
      <x:c r="K40" s="74" t="str">
        <x:f>IF(OR(D40="",E40=""),"",IFERROR(D40/E40,""))</x:f>
      </x:c>
      <x:c r="L40" s="75" t="str">
        <x:f>IF(OR(F40="",C40=""),"",IFERROR(F40/C40*1000,""))</x:f>
      </x:c>
      <x:c r="M40" s="74" t="str">
        <x:f>IF(OR(H40="",G40=""),"",IFERROR(H40/G40,""))</x:f>
      </x:c>
      <x:c r="N40" s="74" t="str">
        <x:f>IF(OR(I40="",J40=""),"",IFERROR(I40/J40,""))</x:f>
      </x:c>
      <x:c r="O40" s="76" t="str">
        <x:f>IF(A40="","",TEXTJOIN("; ",TRUE,IF(C40&lt;=0,"Population missing/invalid",""),IF(E40&lt;=0,"TB estimated cases missing/invalid",""),IF(D40&gt;E40,"TB notified &gt; estimated incident cases",""),IF(F40&gt;C40,"Malaria cases &gt; population (review period/definition)",""),IF(G40&lt;=0,"PLHIV denominator missing/invalid",""),IF(H40&gt;G40,"ART count &gt; estimated PLHIV",""),IF(J40&lt;=0,"HIV population-at-risk missing/invalid",""),IF(I40&gt;J40,"New HIV infections &gt; population at risk","")))</x:f>
      </x:c>
    </x:row>
    <x:row r="41">
      <x:c r="A41" s="71"/>
      <x:c r="B41" s="72"/>
      <x:c r="C41" s="73"/>
      <x:c r="D41" s="73"/>
      <x:c r="E41" s="73"/>
      <x:c r="F41" s="73"/>
      <x:c r="G41" s="73"/>
      <x:c r="H41" s="73"/>
      <x:c r="I41" s="73"/>
      <x:c r="J41" s="73"/>
      <x:c r="K41" s="74" t="str">
        <x:f>IF(OR(D41="",E41=""),"",IFERROR(D41/E41,""))</x:f>
      </x:c>
      <x:c r="L41" s="75" t="str">
        <x:f>IF(OR(F41="",C41=""),"",IFERROR(F41/C41*1000,""))</x:f>
      </x:c>
      <x:c r="M41" s="74" t="str">
        <x:f>IF(OR(H41="",G41=""),"",IFERROR(H41/G41,""))</x:f>
      </x:c>
      <x:c r="N41" s="74" t="str">
        <x:f>IF(OR(I41="",J41=""),"",IFERROR(I41/J41,""))</x:f>
      </x:c>
      <x:c r="O41" s="76" t="str">
        <x:f>IF(A41="","",TEXTJOIN("; ",TRUE,IF(C41&lt;=0,"Population missing/invalid",""),IF(E41&lt;=0,"TB estimated cases missing/invalid",""),IF(D41&gt;E41,"TB notified &gt; estimated incident cases",""),IF(F41&gt;C41,"Malaria cases &gt; population (review period/definition)",""),IF(G41&lt;=0,"PLHIV denominator missing/invalid",""),IF(H41&gt;G41,"ART count &gt; estimated PLHIV",""),IF(J41&lt;=0,"HIV population-at-risk missing/invalid",""),IF(I41&gt;J41,"New HIV infections &gt; population at risk","")))</x:f>
      </x:c>
    </x:row>
    <x:row r="42">
      <x:c r="A42" s="71"/>
      <x:c r="B42" s="72"/>
      <x:c r="C42" s="73"/>
      <x:c r="D42" s="73"/>
      <x:c r="E42" s="73"/>
      <x:c r="F42" s="73"/>
      <x:c r="G42" s="73"/>
      <x:c r="H42" s="73"/>
      <x:c r="I42" s="73"/>
      <x:c r="J42" s="73"/>
      <x:c r="K42" s="74" t="str">
        <x:f>IF(OR(D42="",E42=""),"",IFERROR(D42/E42,""))</x:f>
      </x:c>
      <x:c r="L42" s="75" t="str">
        <x:f>IF(OR(F42="",C42=""),"",IFERROR(F42/C42*1000,""))</x:f>
      </x:c>
      <x:c r="M42" s="74" t="str">
        <x:f>IF(OR(H42="",G42=""),"",IFERROR(H42/G42,""))</x:f>
      </x:c>
      <x:c r="N42" s="74" t="str">
        <x:f>IF(OR(I42="",J42=""),"",IFERROR(I42/J42,""))</x:f>
      </x:c>
      <x:c r="O42" s="76" t="str">
        <x:f>IF(A42="","",TEXTJOIN("; ",TRUE,IF(C42&lt;=0,"Population missing/invalid",""),IF(E42&lt;=0,"TB estimated cases missing/invalid",""),IF(D42&gt;E42,"TB notified &gt; estimated incident cases",""),IF(F42&gt;C42,"Malaria cases &gt; population (review period/definition)",""),IF(G42&lt;=0,"PLHIV denominator missing/invalid",""),IF(H42&gt;G42,"ART count &gt; estimated PLHIV",""),IF(J42&lt;=0,"HIV population-at-risk missing/invalid",""),IF(I42&gt;J42,"New HIV infections &gt; population at risk","")))</x:f>
      </x:c>
    </x:row>
    <x:row r="43">
      <x:c r="A43" s="71"/>
      <x:c r="B43" s="72"/>
      <x:c r="C43" s="73"/>
      <x:c r="D43" s="73"/>
      <x:c r="E43" s="73"/>
      <x:c r="F43" s="73"/>
      <x:c r="G43" s="73"/>
      <x:c r="H43" s="73"/>
      <x:c r="I43" s="73"/>
      <x:c r="J43" s="73"/>
      <x:c r="K43" s="74" t="str">
        <x:f>IF(OR(D43="",E43=""),"",IFERROR(D43/E43,""))</x:f>
      </x:c>
      <x:c r="L43" s="75" t="str">
        <x:f>IF(OR(F43="",C43=""),"",IFERROR(F43/C43*1000,""))</x:f>
      </x:c>
      <x:c r="M43" s="74" t="str">
        <x:f>IF(OR(H43="",G43=""),"",IFERROR(H43/G43,""))</x:f>
      </x:c>
      <x:c r="N43" s="74" t="str">
        <x:f>IF(OR(I43="",J43=""),"",IFERROR(I43/J43,""))</x:f>
      </x:c>
      <x:c r="O43" s="76" t="str">
        <x:f>IF(A43="","",TEXTJOIN("; ",TRUE,IF(C43&lt;=0,"Population missing/invalid",""),IF(E43&lt;=0,"TB estimated cases missing/invalid",""),IF(D43&gt;E43,"TB notified &gt; estimated incident cases",""),IF(F43&gt;C43,"Malaria cases &gt; population (review period/definition)",""),IF(G43&lt;=0,"PLHIV denominator missing/invalid",""),IF(H43&gt;G43,"ART count &gt; estimated PLHIV",""),IF(J43&lt;=0,"HIV population-at-risk missing/invalid",""),IF(I43&gt;J43,"New HIV infections &gt; population at risk","")))</x:f>
      </x:c>
    </x:row>
    <x:row r="44">
      <x:c r="A44" s="71"/>
      <x:c r="B44" s="72"/>
      <x:c r="C44" s="73"/>
      <x:c r="D44" s="73"/>
      <x:c r="E44" s="73"/>
      <x:c r="F44" s="73"/>
      <x:c r="G44" s="73"/>
      <x:c r="H44" s="73"/>
      <x:c r="I44" s="73"/>
      <x:c r="J44" s="73"/>
      <x:c r="K44" s="74" t="str">
        <x:f>IF(OR(D44="",E44=""),"",IFERROR(D44/E44,""))</x:f>
      </x:c>
      <x:c r="L44" s="75" t="str">
        <x:f>IF(OR(F44="",C44=""),"",IFERROR(F44/C44*1000,""))</x:f>
      </x:c>
      <x:c r="M44" s="74" t="str">
        <x:f>IF(OR(H44="",G44=""),"",IFERROR(H44/G44,""))</x:f>
      </x:c>
      <x:c r="N44" s="74" t="str">
        <x:f>IF(OR(I44="",J44=""),"",IFERROR(I44/J44,""))</x:f>
      </x:c>
      <x:c r="O44" s="76" t="str">
        <x:f>IF(A44="","",TEXTJOIN("; ",TRUE,IF(C44&lt;=0,"Population missing/invalid",""),IF(E44&lt;=0,"TB estimated cases missing/invalid",""),IF(D44&gt;E44,"TB notified &gt; estimated incident cases",""),IF(F44&gt;C44,"Malaria cases &gt; population (review period/definition)",""),IF(G44&lt;=0,"PLHIV denominator missing/invalid",""),IF(H44&gt;G44,"ART count &gt; estimated PLHIV",""),IF(J44&lt;=0,"HIV population-at-risk missing/invalid",""),IF(I44&gt;J44,"New HIV infections &gt; population at risk","")))</x:f>
      </x:c>
    </x:row>
    <x:row r="45">
      <x:c r="A45" s="71"/>
      <x:c r="B45" s="72"/>
      <x:c r="C45" s="73"/>
      <x:c r="D45" s="73"/>
      <x:c r="E45" s="73"/>
      <x:c r="F45" s="73"/>
      <x:c r="G45" s="73"/>
      <x:c r="H45" s="73"/>
      <x:c r="I45" s="73"/>
      <x:c r="J45" s="73"/>
      <x:c r="K45" s="74" t="str">
        <x:f>IF(OR(D45="",E45=""),"",IFERROR(D45/E45,""))</x:f>
      </x:c>
      <x:c r="L45" s="75" t="str">
        <x:f>IF(OR(F45="",C45=""),"",IFERROR(F45/C45*1000,""))</x:f>
      </x:c>
      <x:c r="M45" s="74" t="str">
        <x:f>IF(OR(H45="",G45=""),"",IFERROR(H45/G45,""))</x:f>
      </x:c>
      <x:c r="N45" s="74" t="str">
        <x:f>IF(OR(I45="",J45=""),"",IFERROR(I45/J45,""))</x:f>
      </x:c>
      <x:c r="O45" s="76" t="str">
        <x:f>IF(A45="","",TEXTJOIN("; ",TRUE,IF(C45&lt;=0,"Population missing/invalid",""),IF(E45&lt;=0,"TB estimated cases missing/invalid",""),IF(D45&gt;E45,"TB notified &gt; estimated incident cases",""),IF(F45&gt;C45,"Malaria cases &gt; population (review period/definition)",""),IF(G45&lt;=0,"PLHIV denominator missing/invalid",""),IF(H45&gt;G45,"ART count &gt; estimated PLHIV",""),IF(J45&lt;=0,"HIV population-at-risk missing/invalid",""),IF(I45&gt;J45,"New HIV infections &gt; population at risk","")))</x:f>
      </x:c>
    </x:row>
    <x:row r="46">
      <x:c r="A46" s="71"/>
      <x:c r="B46" s="72"/>
      <x:c r="C46" s="73"/>
      <x:c r="D46" s="73"/>
      <x:c r="E46" s="73"/>
      <x:c r="F46" s="73"/>
      <x:c r="G46" s="73"/>
      <x:c r="H46" s="73"/>
      <x:c r="I46" s="73"/>
      <x:c r="J46" s="73"/>
      <x:c r="K46" s="74" t="str">
        <x:f>IF(OR(D46="",E46=""),"",IFERROR(D46/E46,""))</x:f>
      </x:c>
      <x:c r="L46" s="75" t="str">
        <x:f>IF(OR(F46="",C46=""),"",IFERROR(F46/C46*1000,""))</x:f>
      </x:c>
      <x:c r="M46" s="74" t="str">
        <x:f>IF(OR(H46="",G46=""),"",IFERROR(H46/G46,""))</x:f>
      </x:c>
      <x:c r="N46" s="74" t="str">
        <x:f>IF(OR(I46="",J46=""),"",IFERROR(I46/J46,""))</x:f>
      </x:c>
      <x:c r="O46" s="76" t="str">
        <x:f>IF(A46="","",TEXTJOIN("; ",TRUE,IF(C46&lt;=0,"Population missing/invalid",""),IF(E46&lt;=0,"TB estimated cases missing/invalid",""),IF(D46&gt;E46,"TB notified &gt; estimated incident cases",""),IF(F46&gt;C46,"Malaria cases &gt; population (review period/definition)",""),IF(G46&lt;=0,"PLHIV denominator missing/invalid",""),IF(H46&gt;G46,"ART count &gt; estimated PLHIV",""),IF(J46&lt;=0,"HIV population-at-risk missing/invalid",""),IF(I46&gt;J46,"New HIV infections &gt; population at risk","")))</x:f>
      </x:c>
    </x:row>
    <x:row r="47">
      <x:c r="A47" s="71"/>
      <x:c r="B47" s="72"/>
      <x:c r="C47" s="73"/>
      <x:c r="D47" s="73"/>
      <x:c r="E47" s="73"/>
      <x:c r="F47" s="73"/>
      <x:c r="G47" s="73"/>
      <x:c r="H47" s="73"/>
      <x:c r="I47" s="73"/>
      <x:c r="J47" s="73"/>
      <x:c r="K47" s="74" t="str">
        <x:f>IF(OR(D47="",E47=""),"",IFERROR(D47/E47,""))</x:f>
      </x:c>
      <x:c r="L47" s="75" t="str">
        <x:f>IF(OR(F47="",C47=""),"",IFERROR(F47/C47*1000,""))</x:f>
      </x:c>
      <x:c r="M47" s="74" t="str">
        <x:f>IF(OR(H47="",G47=""),"",IFERROR(H47/G47,""))</x:f>
      </x:c>
      <x:c r="N47" s="74" t="str">
        <x:f>IF(OR(I47="",J47=""),"",IFERROR(I47/J47,""))</x:f>
      </x:c>
      <x:c r="O47" s="76" t="str">
        <x:f>IF(A47="","",TEXTJOIN("; ",TRUE,IF(C47&lt;=0,"Population missing/invalid",""),IF(E47&lt;=0,"TB estimated cases missing/invalid",""),IF(D47&gt;E47,"TB notified &gt; estimated incident cases",""),IF(F47&gt;C47,"Malaria cases &gt; population (review period/definition)",""),IF(G47&lt;=0,"PLHIV denominator missing/invalid",""),IF(H47&gt;G47,"ART count &gt; estimated PLHIV",""),IF(J47&lt;=0,"HIV population-at-risk missing/invalid",""),IF(I47&gt;J47,"New HIV infections &gt; population at risk","")))</x:f>
      </x:c>
    </x:row>
    <x:row r="48">
      <x:c r="A48" s="71"/>
      <x:c r="B48" s="72"/>
      <x:c r="C48" s="73"/>
      <x:c r="D48" s="73"/>
      <x:c r="E48" s="73"/>
      <x:c r="F48" s="73"/>
      <x:c r="G48" s="73"/>
      <x:c r="H48" s="73"/>
      <x:c r="I48" s="73"/>
      <x:c r="J48" s="73"/>
      <x:c r="K48" s="74" t="str">
        <x:f>IF(OR(D48="",E48=""),"",IFERROR(D48/E48,""))</x:f>
      </x:c>
      <x:c r="L48" s="75" t="str">
        <x:f>IF(OR(F48="",C48=""),"",IFERROR(F48/C48*1000,""))</x:f>
      </x:c>
      <x:c r="M48" s="74" t="str">
        <x:f>IF(OR(H48="",G48=""),"",IFERROR(H48/G48,""))</x:f>
      </x:c>
      <x:c r="N48" s="74" t="str">
        <x:f>IF(OR(I48="",J48=""),"",IFERROR(I48/J48,""))</x:f>
      </x:c>
      <x:c r="O48" s="76" t="str">
        <x:f>IF(A48="","",TEXTJOIN("; ",TRUE,IF(C48&lt;=0,"Population missing/invalid",""),IF(E48&lt;=0,"TB estimated cases missing/invalid",""),IF(D48&gt;E48,"TB notified &gt; estimated incident cases",""),IF(F48&gt;C48,"Malaria cases &gt; population (review period/definition)",""),IF(G48&lt;=0,"PLHIV denominator missing/invalid",""),IF(H48&gt;G48,"ART count &gt; estimated PLHIV",""),IF(J48&lt;=0,"HIV population-at-risk missing/invalid",""),IF(I48&gt;J48,"New HIV infections &gt; population at risk","")))</x:f>
      </x:c>
    </x:row>
    <x:row r="49">
      <x:c r="A49" s="71"/>
      <x:c r="B49" s="72"/>
      <x:c r="C49" s="73"/>
      <x:c r="D49" s="73"/>
      <x:c r="E49" s="73"/>
      <x:c r="F49" s="73"/>
      <x:c r="G49" s="73"/>
      <x:c r="H49" s="73"/>
      <x:c r="I49" s="73"/>
      <x:c r="J49" s="73"/>
      <x:c r="K49" s="74" t="str">
        <x:f>IF(OR(D49="",E49=""),"",IFERROR(D49/E49,""))</x:f>
      </x:c>
      <x:c r="L49" s="75" t="str">
        <x:f>IF(OR(F49="",C49=""),"",IFERROR(F49/C49*1000,""))</x:f>
      </x:c>
      <x:c r="M49" s="74" t="str">
        <x:f>IF(OR(H49="",G49=""),"",IFERROR(H49/G49,""))</x:f>
      </x:c>
      <x:c r="N49" s="74" t="str">
        <x:f>IF(OR(I49="",J49=""),"",IFERROR(I49/J49,""))</x:f>
      </x:c>
      <x:c r="O49" s="76" t="str">
        <x:f>IF(A49="","",TEXTJOIN("; ",TRUE,IF(C49&lt;=0,"Population missing/invalid",""),IF(E49&lt;=0,"TB estimated cases missing/invalid",""),IF(D49&gt;E49,"TB notified &gt; estimated incident cases",""),IF(F49&gt;C49,"Malaria cases &gt; population (review period/definition)",""),IF(G49&lt;=0,"PLHIV denominator missing/invalid",""),IF(H49&gt;G49,"ART count &gt; estimated PLHIV",""),IF(J49&lt;=0,"HIV population-at-risk missing/invalid",""),IF(I49&gt;J49,"New HIV infections &gt; population at risk","")))</x:f>
      </x:c>
    </x:row>
    <x:row r="50">
      <x:c r="A50" s="71"/>
      <x:c r="B50" s="72"/>
      <x:c r="C50" s="73"/>
      <x:c r="D50" s="73"/>
      <x:c r="E50" s="73"/>
      <x:c r="F50" s="73"/>
      <x:c r="G50" s="73"/>
      <x:c r="H50" s="73"/>
      <x:c r="I50" s="73"/>
      <x:c r="J50" s="73"/>
      <x:c r="K50" s="74" t="str">
        <x:f>IF(OR(D50="",E50=""),"",IFERROR(D50/E50,""))</x:f>
      </x:c>
      <x:c r="L50" s="75" t="str">
        <x:f>IF(OR(F50="",C50=""),"",IFERROR(F50/C50*1000,""))</x:f>
      </x:c>
      <x:c r="M50" s="74" t="str">
        <x:f>IF(OR(H50="",G50=""),"",IFERROR(H50/G50,""))</x:f>
      </x:c>
      <x:c r="N50" s="74" t="str">
        <x:f>IF(OR(I50="",J50=""),"",IFERROR(I50/J50,""))</x:f>
      </x:c>
      <x:c r="O50" s="76" t="str">
        <x:f>IF(A50="","",TEXTJOIN("; ",TRUE,IF(C50&lt;=0,"Population missing/invalid",""),IF(E50&lt;=0,"TB estimated cases missing/invalid",""),IF(D50&gt;E50,"TB notified &gt; estimated incident cases",""),IF(F50&gt;C50,"Malaria cases &gt; population (review period/definition)",""),IF(G50&lt;=0,"PLHIV denominator missing/invalid",""),IF(H50&gt;G50,"ART count &gt; estimated PLHIV",""),IF(J50&lt;=0,"HIV population-at-risk missing/invalid",""),IF(I50&gt;J50,"New HIV infections &gt; population at risk","")))</x:f>
      </x:c>
    </x:row>
    <x:row r="51">
      <x:c r="A51" s="71"/>
      <x:c r="B51" s="72"/>
      <x:c r="C51" s="73"/>
      <x:c r="D51" s="73"/>
      <x:c r="E51" s="73"/>
      <x:c r="F51" s="73"/>
      <x:c r="G51" s="73"/>
      <x:c r="H51" s="73"/>
      <x:c r="I51" s="73"/>
      <x:c r="J51" s="73"/>
      <x:c r="K51" s="74" t="str">
        <x:f>IF(OR(D51="",E51=""),"",IFERROR(D51/E51,""))</x:f>
      </x:c>
      <x:c r="L51" s="75" t="str">
        <x:f>IF(OR(F51="",C51=""),"",IFERROR(F51/C51*1000,""))</x:f>
      </x:c>
      <x:c r="M51" s="74" t="str">
        <x:f>IF(OR(H51="",G51=""),"",IFERROR(H51/G51,""))</x:f>
      </x:c>
      <x:c r="N51" s="74" t="str">
        <x:f>IF(OR(I51="",J51=""),"",IFERROR(I51/J51,""))</x:f>
      </x:c>
      <x:c r="O51" s="76" t="str">
        <x:f>IF(A51="","",TEXTJOIN("; ",TRUE,IF(C51&lt;=0,"Population missing/invalid",""),IF(E51&lt;=0,"TB estimated cases missing/invalid",""),IF(D51&gt;E51,"TB notified &gt; estimated incident cases",""),IF(F51&gt;C51,"Malaria cases &gt; population (review period/definition)",""),IF(G51&lt;=0,"PLHIV denominator missing/invalid",""),IF(H51&gt;G51,"ART count &gt; estimated PLHIV",""),IF(J51&lt;=0,"HIV population-at-risk missing/invalid",""),IF(I51&gt;J51,"New HIV infections &gt; population at risk","")))</x:f>
      </x:c>
    </x:row>
    <x:row r="52">
      <x:c r="A52" s="71"/>
      <x:c r="B52" s="72"/>
      <x:c r="C52" s="73"/>
      <x:c r="D52" s="73"/>
      <x:c r="E52" s="73"/>
      <x:c r="F52" s="73"/>
      <x:c r="G52" s="73"/>
      <x:c r="H52" s="73"/>
      <x:c r="I52" s="73"/>
      <x:c r="J52" s="73"/>
      <x:c r="K52" s="74" t="str">
        <x:f>IF(OR(D52="",E52=""),"",IFERROR(D52/E52,""))</x:f>
      </x:c>
      <x:c r="L52" s="75" t="str">
        <x:f>IF(OR(F52="",C52=""),"",IFERROR(F52/C52*1000,""))</x:f>
      </x:c>
      <x:c r="M52" s="74" t="str">
        <x:f>IF(OR(H52="",G52=""),"",IFERROR(H52/G52,""))</x:f>
      </x:c>
      <x:c r="N52" s="74" t="str">
        <x:f>IF(OR(I52="",J52=""),"",IFERROR(I52/J52,""))</x:f>
      </x:c>
      <x:c r="O52" s="76" t="str">
        <x:f>IF(A52="","",TEXTJOIN("; ",TRUE,IF(C52&lt;=0,"Population missing/invalid",""),IF(E52&lt;=0,"TB estimated cases missing/invalid",""),IF(D52&gt;E52,"TB notified &gt; estimated incident cases",""),IF(F52&gt;C52,"Malaria cases &gt; population (review period/definition)",""),IF(G52&lt;=0,"PLHIV denominator missing/invalid",""),IF(H52&gt;G52,"ART count &gt; estimated PLHIV",""),IF(J52&lt;=0,"HIV population-at-risk missing/invalid",""),IF(I52&gt;J52,"New HIV infections &gt; population at risk","")))</x:f>
      </x:c>
    </x:row>
    <x:row r="53">
      <x:c r="A53" s="71"/>
      <x:c r="B53" s="72"/>
      <x:c r="C53" s="73"/>
      <x:c r="D53" s="73"/>
      <x:c r="E53" s="73"/>
      <x:c r="F53" s="73"/>
      <x:c r="G53" s="73"/>
      <x:c r="H53" s="73"/>
      <x:c r="I53" s="73"/>
      <x:c r="J53" s="73"/>
      <x:c r="K53" s="74" t="str">
        <x:f>IF(OR(D53="",E53=""),"",IFERROR(D53/E53,""))</x:f>
      </x:c>
      <x:c r="L53" s="75" t="str">
        <x:f>IF(OR(F53="",C53=""),"",IFERROR(F53/C53*1000,""))</x:f>
      </x:c>
      <x:c r="M53" s="74" t="str">
        <x:f>IF(OR(H53="",G53=""),"",IFERROR(H53/G53,""))</x:f>
      </x:c>
      <x:c r="N53" s="74" t="str">
        <x:f>IF(OR(I53="",J53=""),"",IFERROR(I53/J53,""))</x:f>
      </x:c>
      <x:c r="O53" s="76" t="str">
        <x:f>IF(A53="","",TEXTJOIN("; ",TRUE,IF(C53&lt;=0,"Population missing/invalid",""),IF(E53&lt;=0,"TB estimated cases missing/invalid",""),IF(D53&gt;E53,"TB notified &gt; estimated incident cases",""),IF(F53&gt;C53,"Malaria cases &gt; population (review period/definition)",""),IF(G53&lt;=0,"PLHIV denominator missing/invalid",""),IF(H53&gt;G53,"ART count &gt; estimated PLHIV",""),IF(J53&lt;=0,"HIV population-at-risk missing/invalid",""),IF(I53&gt;J53,"New HIV infections &gt; population at risk","")))</x:f>
      </x:c>
    </x:row>
    <x:row r="54">
      <x:c r="A54" s="71"/>
      <x:c r="B54" s="72"/>
      <x:c r="C54" s="73"/>
      <x:c r="D54" s="73"/>
      <x:c r="E54" s="73"/>
      <x:c r="F54" s="73"/>
      <x:c r="G54" s="73"/>
      <x:c r="H54" s="73"/>
      <x:c r="I54" s="73"/>
      <x:c r="J54" s="73"/>
      <x:c r="K54" s="74" t="str">
        <x:f>IF(OR(D54="",E54=""),"",IFERROR(D54/E54,""))</x:f>
      </x:c>
      <x:c r="L54" s="75" t="str">
        <x:f>IF(OR(F54="",C54=""),"",IFERROR(F54/C54*1000,""))</x:f>
      </x:c>
      <x:c r="M54" s="74" t="str">
        <x:f>IF(OR(H54="",G54=""),"",IFERROR(H54/G54,""))</x:f>
      </x:c>
      <x:c r="N54" s="74" t="str">
        <x:f>IF(OR(I54="",J54=""),"",IFERROR(I54/J54,""))</x:f>
      </x:c>
      <x:c r="O54" s="76" t="str">
        <x:f>IF(A54="","",TEXTJOIN("; ",TRUE,IF(C54&lt;=0,"Population missing/invalid",""),IF(E54&lt;=0,"TB estimated cases missing/invalid",""),IF(D54&gt;E54,"TB notified &gt; estimated incident cases",""),IF(F54&gt;C54,"Malaria cases &gt; population (review period/definition)",""),IF(G54&lt;=0,"PLHIV denominator missing/invalid",""),IF(H54&gt;G54,"ART count &gt; estimated PLHIV",""),IF(J54&lt;=0,"HIV population-at-risk missing/invalid",""),IF(I54&gt;J54,"New HIV infections &gt; population at risk","")))</x:f>
      </x:c>
    </x:row>
    <x:row r="55">
      <x:c r="A55" s="71"/>
      <x:c r="B55" s="72"/>
      <x:c r="C55" s="73"/>
      <x:c r="D55" s="73"/>
      <x:c r="E55" s="73"/>
      <x:c r="F55" s="73"/>
      <x:c r="G55" s="73"/>
      <x:c r="H55" s="73"/>
      <x:c r="I55" s="73"/>
      <x:c r="J55" s="73"/>
      <x:c r="K55" s="74" t="str">
        <x:f>IF(OR(D55="",E55=""),"",IFERROR(D55/E55,""))</x:f>
      </x:c>
      <x:c r="L55" s="75" t="str">
        <x:f>IF(OR(F55="",C55=""),"",IFERROR(F55/C55*1000,""))</x:f>
      </x:c>
      <x:c r="M55" s="74" t="str">
        <x:f>IF(OR(H55="",G55=""),"",IFERROR(H55/G55,""))</x:f>
      </x:c>
      <x:c r="N55" s="74" t="str">
        <x:f>IF(OR(I55="",J55=""),"",IFERROR(I55/J55,""))</x:f>
      </x:c>
      <x:c r="O55" s="76" t="str">
        <x:f>IF(A55="","",TEXTJOIN("; ",TRUE,IF(C55&lt;=0,"Population missing/invalid",""),IF(E55&lt;=0,"TB estimated cases missing/invalid",""),IF(D55&gt;E55,"TB notified &gt; estimated incident cases",""),IF(F55&gt;C55,"Malaria cases &gt; population (review period/definition)",""),IF(G55&lt;=0,"PLHIV denominator missing/invalid",""),IF(H55&gt;G55,"ART count &gt; estimated PLHIV",""),IF(J55&lt;=0,"HIV population-at-risk missing/invalid",""),IF(I55&gt;J55,"New HIV infections &gt; population at risk","")))</x:f>
      </x:c>
    </x:row>
    <x:row r="56">
      <x:c r="A56" s="71"/>
      <x:c r="B56" s="72"/>
      <x:c r="C56" s="73"/>
      <x:c r="D56" s="73"/>
      <x:c r="E56" s="73"/>
      <x:c r="F56" s="73"/>
      <x:c r="G56" s="73"/>
      <x:c r="H56" s="73"/>
      <x:c r="I56" s="73"/>
      <x:c r="J56" s="73"/>
      <x:c r="K56" s="74" t="str">
        <x:f>IF(OR(D56="",E56=""),"",IFERROR(D56/E56,""))</x:f>
      </x:c>
      <x:c r="L56" s="75" t="str">
        <x:f>IF(OR(F56="",C56=""),"",IFERROR(F56/C56*1000,""))</x:f>
      </x:c>
      <x:c r="M56" s="74" t="str">
        <x:f>IF(OR(H56="",G56=""),"",IFERROR(H56/G56,""))</x:f>
      </x:c>
      <x:c r="N56" s="74" t="str">
        <x:f>IF(OR(I56="",J56=""),"",IFERROR(I56/J56,""))</x:f>
      </x:c>
      <x:c r="O56" s="76" t="str">
        <x:f>IF(A56="","",TEXTJOIN("; ",TRUE,IF(C56&lt;=0,"Population missing/invalid",""),IF(E56&lt;=0,"TB estimated cases missing/invalid",""),IF(D56&gt;E56,"TB notified &gt; estimated incident cases",""),IF(F56&gt;C56,"Malaria cases &gt; population (review period/definition)",""),IF(G56&lt;=0,"PLHIV denominator missing/invalid",""),IF(H56&gt;G56,"ART count &gt; estimated PLHIV",""),IF(J56&lt;=0,"HIV population-at-risk missing/invalid",""),IF(I56&gt;J56,"New HIV infections &gt; population at risk","")))</x:f>
      </x:c>
    </x:row>
    <x:row r="57">
      <x:c r="A57" s="71"/>
      <x:c r="B57" s="72"/>
      <x:c r="C57" s="73"/>
      <x:c r="D57" s="73"/>
      <x:c r="E57" s="73"/>
      <x:c r="F57" s="73"/>
      <x:c r="G57" s="73"/>
      <x:c r="H57" s="73"/>
      <x:c r="I57" s="73"/>
      <x:c r="J57" s="73"/>
      <x:c r="K57" s="74" t="str">
        <x:f>IF(OR(D57="",E57=""),"",IFERROR(D57/E57,""))</x:f>
      </x:c>
      <x:c r="L57" s="75" t="str">
        <x:f>IF(OR(F57="",C57=""),"",IFERROR(F57/C57*1000,""))</x:f>
      </x:c>
      <x:c r="M57" s="74" t="str">
        <x:f>IF(OR(H57="",G57=""),"",IFERROR(H57/G57,""))</x:f>
      </x:c>
      <x:c r="N57" s="74" t="str">
        <x:f>IF(OR(I57="",J57=""),"",IFERROR(I57/J57,""))</x:f>
      </x:c>
      <x:c r="O57" s="76" t="str">
        <x:f>IF(A57="","",TEXTJOIN("; ",TRUE,IF(C57&lt;=0,"Population missing/invalid",""),IF(E57&lt;=0,"TB estimated cases missing/invalid",""),IF(D57&gt;E57,"TB notified &gt; estimated incident cases",""),IF(F57&gt;C57,"Malaria cases &gt; population (review period/definition)",""),IF(G57&lt;=0,"PLHIV denominator missing/invalid",""),IF(H57&gt;G57,"ART count &gt; estimated PLHIV",""),IF(J57&lt;=0,"HIV population-at-risk missing/invalid",""),IF(I57&gt;J57,"New HIV infections &gt; population at risk","")))</x:f>
      </x:c>
    </x:row>
    <x:row r="58">
      <x:c r="A58" s="71"/>
      <x:c r="B58" s="72"/>
      <x:c r="C58" s="73"/>
      <x:c r="D58" s="73"/>
      <x:c r="E58" s="73"/>
      <x:c r="F58" s="73"/>
      <x:c r="G58" s="73"/>
      <x:c r="H58" s="73"/>
      <x:c r="I58" s="73"/>
      <x:c r="J58" s="73"/>
      <x:c r="K58" s="74" t="str">
        <x:f>IF(OR(D58="",E58=""),"",IFERROR(D58/E58,""))</x:f>
      </x:c>
      <x:c r="L58" s="75" t="str">
        <x:f>IF(OR(F58="",C58=""),"",IFERROR(F58/C58*1000,""))</x:f>
      </x:c>
      <x:c r="M58" s="74" t="str">
        <x:f>IF(OR(H58="",G58=""),"",IFERROR(H58/G58,""))</x:f>
      </x:c>
      <x:c r="N58" s="74" t="str">
        <x:f>IF(OR(I58="",J58=""),"",IFERROR(I58/J58,""))</x:f>
      </x:c>
      <x:c r="O58" s="76" t="str">
        <x:f>IF(A58="","",TEXTJOIN("; ",TRUE,IF(C58&lt;=0,"Population missing/invalid",""),IF(E58&lt;=0,"TB estimated cases missing/invalid",""),IF(D58&gt;E58,"TB notified &gt; estimated incident cases",""),IF(F58&gt;C58,"Malaria cases &gt; population (review period/definition)",""),IF(G58&lt;=0,"PLHIV denominator missing/invalid",""),IF(H58&gt;G58,"ART count &gt; estimated PLHIV",""),IF(J58&lt;=0,"HIV population-at-risk missing/invalid",""),IF(I58&gt;J58,"New HIV infections &gt; population at risk","")))</x:f>
      </x:c>
    </x:row>
    <x:row r="59">
      <x:c r="A59" s="71"/>
      <x:c r="B59" s="72"/>
      <x:c r="C59" s="73"/>
      <x:c r="D59" s="73"/>
      <x:c r="E59" s="73"/>
      <x:c r="F59" s="73"/>
      <x:c r="G59" s="73"/>
      <x:c r="H59" s="73"/>
      <x:c r="I59" s="73"/>
      <x:c r="J59" s="73"/>
      <x:c r="K59" s="74" t="str">
        <x:f>IF(OR(D59="",E59=""),"",IFERROR(D59/E59,""))</x:f>
      </x:c>
      <x:c r="L59" s="75" t="str">
        <x:f>IF(OR(F59="",C59=""),"",IFERROR(F59/C59*1000,""))</x:f>
      </x:c>
      <x:c r="M59" s="74" t="str">
        <x:f>IF(OR(H59="",G59=""),"",IFERROR(H59/G59,""))</x:f>
      </x:c>
      <x:c r="N59" s="74" t="str">
        <x:f>IF(OR(I59="",J59=""),"",IFERROR(I59/J59,""))</x:f>
      </x:c>
      <x:c r="O59" s="76" t="str">
        <x:f>IF(A59="","",TEXTJOIN("; ",TRUE,IF(C59&lt;=0,"Population missing/invalid",""),IF(E59&lt;=0,"TB estimated cases missing/invalid",""),IF(D59&gt;E59,"TB notified &gt; estimated incident cases",""),IF(F59&gt;C59,"Malaria cases &gt; population (review period/definition)",""),IF(G59&lt;=0,"PLHIV denominator missing/invalid",""),IF(H59&gt;G59,"ART count &gt; estimated PLHIV",""),IF(J59&lt;=0,"HIV population-at-risk missing/invalid",""),IF(I59&gt;J59,"New HIV infections &gt; population at risk","")))</x:f>
      </x:c>
    </x:row>
    <x:row r="60">
      <x:c r="A60" s="71"/>
      <x:c r="B60" s="72"/>
      <x:c r="C60" s="73"/>
      <x:c r="D60" s="73"/>
      <x:c r="E60" s="73"/>
      <x:c r="F60" s="73"/>
      <x:c r="G60" s="73"/>
      <x:c r="H60" s="73"/>
      <x:c r="I60" s="73"/>
      <x:c r="J60" s="73"/>
      <x:c r="K60" s="74" t="str">
        <x:f>IF(OR(D60="",E60=""),"",IFERROR(D60/E60,""))</x:f>
      </x:c>
      <x:c r="L60" s="75" t="str">
        <x:f>IF(OR(F60="",C60=""),"",IFERROR(F60/C60*1000,""))</x:f>
      </x:c>
      <x:c r="M60" s="74" t="str">
        <x:f>IF(OR(H60="",G60=""),"",IFERROR(H60/G60,""))</x:f>
      </x:c>
      <x:c r="N60" s="74" t="str">
        <x:f>IF(OR(I60="",J60=""),"",IFERROR(I60/J60,""))</x:f>
      </x:c>
      <x:c r="O60" s="76" t="str">
        <x:f>IF(A60="","",TEXTJOIN("; ",TRUE,IF(C60&lt;=0,"Population missing/invalid",""),IF(E60&lt;=0,"TB estimated cases missing/invalid",""),IF(D60&gt;E60,"TB notified &gt; estimated incident cases",""),IF(F60&gt;C60,"Malaria cases &gt; population (review period/definition)",""),IF(G60&lt;=0,"PLHIV denominator missing/invalid",""),IF(H60&gt;G60,"ART count &gt; estimated PLHIV",""),IF(J60&lt;=0,"HIV population-at-risk missing/invalid",""),IF(I60&gt;J60,"New HIV infections &gt; population at risk","")))</x:f>
      </x:c>
    </x:row>
    <x:row r="61">
      <x:c r="A61" s="71"/>
      <x:c r="B61" s="72"/>
      <x:c r="C61" s="73"/>
      <x:c r="D61" s="73"/>
      <x:c r="E61" s="73"/>
      <x:c r="F61" s="73"/>
      <x:c r="G61" s="73"/>
      <x:c r="H61" s="73"/>
      <x:c r="I61" s="73"/>
      <x:c r="J61" s="73"/>
      <x:c r="K61" s="74" t="str">
        <x:f>IF(OR(D61="",E61=""),"",IFERROR(D61/E61,""))</x:f>
      </x:c>
      <x:c r="L61" s="75" t="str">
        <x:f>IF(OR(F61="",C61=""),"",IFERROR(F61/C61*1000,""))</x:f>
      </x:c>
      <x:c r="M61" s="74" t="str">
        <x:f>IF(OR(H61="",G61=""),"",IFERROR(H61/G61,""))</x:f>
      </x:c>
      <x:c r="N61" s="74" t="str">
        <x:f>IF(OR(I61="",J61=""),"",IFERROR(I61/J61,""))</x:f>
      </x:c>
      <x:c r="O61" s="76" t="str">
        <x:f>IF(A61="","",TEXTJOIN("; ",TRUE,IF(C61&lt;=0,"Population missing/invalid",""),IF(E61&lt;=0,"TB estimated cases missing/invalid",""),IF(D61&gt;E61,"TB notified &gt; estimated incident cases",""),IF(F61&gt;C61,"Malaria cases &gt; population (review period/definition)",""),IF(G61&lt;=0,"PLHIV denominator missing/invalid",""),IF(H61&gt;G61,"ART count &gt; estimated PLHIV",""),IF(J61&lt;=0,"HIV population-at-risk missing/invalid",""),IF(I61&gt;J61,"New HIV infections &gt; population at risk","")))</x:f>
      </x:c>
    </x:row>
    <x:row r="62">
      <x:c r="A62" s="71"/>
      <x:c r="B62" s="72"/>
      <x:c r="C62" s="73"/>
      <x:c r="D62" s="73"/>
      <x:c r="E62" s="73"/>
      <x:c r="F62" s="73"/>
      <x:c r="G62" s="73"/>
      <x:c r="H62" s="73"/>
      <x:c r="I62" s="73"/>
      <x:c r="J62" s="73"/>
      <x:c r="K62" s="74" t="str">
        <x:f>IF(OR(D62="",E62=""),"",IFERROR(D62/E62,""))</x:f>
      </x:c>
      <x:c r="L62" s="75" t="str">
        <x:f>IF(OR(F62="",C62=""),"",IFERROR(F62/C62*1000,""))</x:f>
      </x:c>
      <x:c r="M62" s="74" t="str">
        <x:f>IF(OR(H62="",G62=""),"",IFERROR(H62/G62,""))</x:f>
      </x:c>
      <x:c r="N62" s="74" t="str">
        <x:f>IF(OR(I62="",J62=""),"",IFERROR(I62/J62,""))</x:f>
      </x:c>
      <x:c r="O62" s="76" t="str">
        <x:f>IF(A62="","",TEXTJOIN("; ",TRUE,IF(C62&lt;=0,"Population missing/invalid",""),IF(E62&lt;=0,"TB estimated cases missing/invalid",""),IF(D62&gt;E62,"TB notified &gt; estimated incident cases",""),IF(F62&gt;C62,"Malaria cases &gt; population (review period/definition)",""),IF(G62&lt;=0,"PLHIV denominator missing/invalid",""),IF(H62&gt;G62,"ART count &gt; estimated PLHIV",""),IF(J62&lt;=0,"HIV population-at-risk missing/invalid",""),IF(I62&gt;J62,"New HIV infections &gt; population at risk","")))</x:f>
      </x:c>
    </x:row>
    <x:row r="63">
      <x:c r="A63" s="71"/>
      <x:c r="B63" s="72"/>
      <x:c r="C63" s="73"/>
      <x:c r="D63" s="73"/>
      <x:c r="E63" s="73"/>
      <x:c r="F63" s="73"/>
      <x:c r="G63" s="73"/>
      <x:c r="H63" s="73"/>
      <x:c r="I63" s="73"/>
      <x:c r="J63" s="73"/>
      <x:c r="K63" s="74" t="str">
        <x:f>IF(OR(D63="",E63=""),"",IFERROR(D63/E63,""))</x:f>
      </x:c>
      <x:c r="L63" s="75" t="str">
        <x:f>IF(OR(F63="",C63=""),"",IFERROR(F63/C63*1000,""))</x:f>
      </x:c>
      <x:c r="M63" s="74" t="str">
        <x:f>IF(OR(H63="",G63=""),"",IFERROR(H63/G63,""))</x:f>
      </x:c>
      <x:c r="N63" s="74" t="str">
        <x:f>IF(OR(I63="",J63=""),"",IFERROR(I63/J63,""))</x:f>
      </x:c>
      <x:c r="O63" s="76" t="str">
        <x:f>IF(A63="","",TEXTJOIN("; ",TRUE,IF(C63&lt;=0,"Population missing/invalid",""),IF(E63&lt;=0,"TB estimated cases missing/invalid",""),IF(D63&gt;E63,"TB notified &gt; estimated incident cases",""),IF(F63&gt;C63,"Malaria cases &gt; population (review period/definition)",""),IF(G63&lt;=0,"PLHIV denominator missing/invalid",""),IF(H63&gt;G63,"ART count &gt; estimated PLHIV",""),IF(J63&lt;=0,"HIV population-at-risk missing/invalid",""),IF(I63&gt;J63,"New HIV infections &gt; population at risk","")))</x:f>
      </x:c>
    </x:row>
    <x:row r="64">
      <x:c r="A64" s="71"/>
      <x:c r="B64" s="72"/>
      <x:c r="C64" s="73"/>
      <x:c r="D64" s="73"/>
      <x:c r="E64" s="73"/>
      <x:c r="F64" s="73"/>
      <x:c r="G64" s="73"/>
      <x:c r="H64" s="73"/>
      <x:c r="I64" s="73"/>
      <x:c r="J64" s="73"/>
      <x:c r="K64" s="74" t="str">
        <x:f>IF(OR(D64="",E64=""),"",IFERROR(D64/E64,""))</x:f>
      </x:c>
      <x:c r="L64" s="75" t="str">
        <x:f>IF(OR(F64="",C64=""),"",IFERROR(F64/C64*1000,""))</x:f>
      </x:c>
      <x:c r="M64" s="74" t="str">
        <x:f>IF(OR(H64="",G64=""),"",IFERROR(H64/G64,""))</x:f>
      </x:c>
      <x:c r="N64" s="74" t="str">
        <x:f>IF(OR(I64="",J64=""),"",IFERROR(I64/J64,""))</x:f>
      </x:c>
      <x:c r="O64" s="76" t="str">
        <x:f>IF(A64="","",TEXTJOIN("; ",TRUE,IF(C64&lt;=0,"Population missing/invalid",""),IF(E64&lt;=0,"TB estimated cases missing/invalid",""),IF(D64&gt;E64,"TB notified &gt; estimated incident cases",""),IF(F64&gt;C64,"Malaria cases &gt; population (review period/definition)",""),IF(G64&lt;=0,"PLHIV denominator missing/invalid",""),IF(H64&gt;G64,"ART count &gt; estimated PLHIV",""),IF(J64&lt;=0,"HIV population-at-risk missing/invalid",""),IF(I64&gt;J64,"New HIV infections &gt; population at risk","")))</x:f>
      </x:c>
    </x:row>
    <x:row r="65">
      <x:c r="A65" s="71"/>
      <x:c r="B65" s="72"/>
      <x:c r="C65" s="73"/>
      <x:c r="D65" s="73"/>
      <x:c r="E65" s="73"/>
      <x:c r="F65" s="73"/>
      <x:c r="G65" s="73"/>
      <x:c r="H65" s="73"/>
      <x:c r="I65" s="73"/>
      <x:c r="J65" s="73"/>
      <x:c r="K65" s="74" t="str">
        <x:f>IF(OR(D65="",E65=""),"",IFERROR(D65/E65,""))</x:f>
      </x:c>
      <x:c r="L65" s="75" t="str">
        <x:f>IF(OR(F65="",C65=""),"",IFERROR(F65/C65*1000,""))</x:f>
      </x:c>
      <x:c r="M65" s="74" t="str">
        <x:f>IF(OR(H65="",G65=""),"",IFERROR(H65/G65,""))</x:f>
      </x:c>
      <x:c r="N65" s="74" t="str">
        <x:f>IF(OR(I65="",J65=""),"",IFERROR(I65/J65,""))</x:f>
      </x:c>
      <x:c r="O65" s="76" t="str">
        <x:f>IF(A65="","",TEXTJOIN("; ",TRUE,IF(C65&lt;=0,"Population missing/invalid",""),IF(E65&lt;=0,"TB estimated cases missing/invalid",""),IF(D65&gt;E65,"TB notified &gt; estimated incident cases",""),IF(F65&gt;C65,"Malaria cases &gt; population (review period/definition)",""),IF(G65&lt;=0,"PLHIV denominator missing/invalid",""),IF(H65&gt;G65,"ART count &gt; estimated PLHIV",""),IF(J65&lt;=0,"HIV population-at-risk missing/invalid",""),IF(I65&gt;J65,"New HIV infections &gt; population at risk","")))</x:f>
      </x:c>
    </x:row>
    <x:row r="66">
      <x:c r="A66" s="71"/>
      <x:c r="B66" s="72"/>
      <x:c r="C66" s="73"/>
      <x:c r="D66" s="73"/>
      <x:c r="E66" s="73"/>
      <x:c r="F66" s="73"/>
      <x:c r="G66" s="73"/>
      <x:c r="H66" s="73"/>
      <x:c r="I66" s="73"/>
      <x:c r="J66" s="73"/>
      <x:c r="K66" s="74" t="str">
        <x:f>IF(OR(D66="",E66=""),"",IFERROR(D66/E66,""))</x:f>
      </x:c>
      <x:c r="L66" s="75" t="str">
        <x:f>IF(OR(F66="",C66=""),"",IFERROR(F66/C66*1000,""))</x:f>
      </x:c>
      <x:c r="M66" s="74" t="str">
        <x:f>IF(OR(H66="",G66=""),"",IFERROR(H66/G66,""))</x:f>
      </x:c>
      <x:c r="N66" s="74" t="str">
        <x:f>IF(OR(I66="",J66=""),"",IFERROR(I66/J66,""))</x:f>
      </x:c>
      <x:c r="O66" s="76" t="str">
        <x:f>IF(A66="","",TEXTJOIN("; ",TRUE,IF(C66&lt;=0,"Population missing/invalid",""),IF(E66&lt;=0,"TB estimated cases missing/invalid",""),IF(D66&gt;E66,"TB notified &gt; estimated incident cases",""),IF(F66&gt;C66,"Malaria cases &gt; population (review period/definition)",""),IF(G66&lt;=0,"PLHIV denominator missing/invalid",""),IF(H66&gt;G66,"ART count &gt; estimated PLHIV",""),IF(J66&lt;=0,"HIV population-at-risk missing/invalid",""),IF(I66&gt;J66,"New HIV infections &gt; population at risk","")))</x:f>
      </x:c>
    </x:row>
    <x:row r="67">
      <x:c r="A67" s="71"/>
      <x:c r="B67" s="72"/>
      <x:c r="C67" s="73"/>
      <x:c r="D67" s="73"/>
      <x:c r="E67" s="73"/>
      <x:c r="F67" s="73"/>
      <x:c r="G67" s="73"/>
      <x:c r="H67" s="73"/>
      <x:c r="I67" s="73"/>
      <x:c r="J67" s="73"/>
      <x:c r="K67" s="74" t="str">
        <x:f>IF(OR(D67="",E67=""),"",IFERROR(D67/E67,""))</x:f>
      </x:c>
      <x:c r="L67" s="75" t="str">
        <x:f>IF(OR(F67="",C67=""),"",IFERROR(F67/C67*1000,""))</x:f>
      </x:c>
      <x:c r="M67" s="74" t="str">
        <x:f>IF(OR(H67="",G67=""),"",IFERROR(H67/G67,""))</x:f>
      </x:c>
      <x:c r="N67" s="74" t="str">
        <x:f>IF(OR(I67="",J67=""),"",IFERROR(I67/J67,""))</x:f>
      </x:c>
      <x:c r="O67" s="76" t="str">
        <x:f>IF(A67="","",TEXTJOIN("; ",TRUE,IF(C67&lt;=0,"Population missing/invalid",""),IF(E67&lt;=0,"TB estimated cases missing/invalid",""),IF(D67&gt;E67,"TB notified &gt; estimated incident cases",""),IF(F67&gt;C67,"Malaria cases &gt; population (review period/definition)",""),IF(G67&lt;=0,"PLHIV denominator missing/invalid",""),IF(H67&gt;G67,"ART count &gt; estimated PLHIV",""),IF(J67&lt;=0,"HIV population-at-risk missing/invalid",""),IF(I67&gt;J67,"New HIV infections &gt; population at risk","")))</x:f>
      </x:c>
    </x:row>
    <x:row r="68">
      <x:c r="A68" s="71"/>
      <x:c r="B68" s="72"/>
      <x:c r="C68" s="73"/>
      <x:c r="D68" s="73"/>
      <x:c r="E68" s="73"/>
      <x:c r="F68" s="73"/>
      <x:c r="G68" s="73"/>
      <x:c r="H68" s="73"/>
      <x:c r="I68" s="73"/>
      <x:c r="J68" s="73"/>
      <x:c r="K68" s="74" t="str">
        <x:f>IF(OR(D68="",E68=""),"",IFERROR(D68/E68,""))</x:f>
      </x:c>
      <x:c r="L68" s="75" t="str">
        <x:f>IF(OR(F68="",C68=""),"",IFERROR(F68/C68*1000,""))</x:f>
      </x:c>
      <x:c r="M68" s="74" t="str">
        <x:f>IF(OR(H68="",G68=""),"",IFERROR(H68/G68,""))</x:f>
      </x:c>
      <x:c r="N68" s="74" t="str">
        <x:f>IF(OR(I68="",J68=""),"",IFERROR(I68/J68,""))</x:f>
      </x:c>
      <x:c r="O68" s="76" t="str">
        <x:f>IF(A68="","",TEXTJOIN("; ",TRUE,IF(C68&lt;=0,"Population missing/invalid",""),IF(E68&lt;=0,"TB estimated cases missing/invalid",""),IF(D68&gt;E68,"TB notified &gt; estimated incident cases",""),IF(F68&gt;C68,"Malaria cases &gt; population (review period/definition)",""),IF(G68&lt;=0,"PLHIV denominator missing/invalid",""),IF(H68&gt;G68,"ART count &gt; estimated PLHIV",""),IF(J68&lt;=0,"HIV population-at-risk missing/invalid",""),IF(I68&gt;J68,"New HIV infections &gt; population at risk","")))</x:f>
      </x:c>
    </x:row>
    <x:row r="69">
      <x:c r="A69" s="71"/>
      <x:c r="B69" s="72"/>
      <x:c r="C69" s="73"/>
      <x:c r="D69" s="73"/>
      <x:c r="E69" s="73"/>
      <x:c r="F69" s="73"/>
      <x:c r="G69" s="73"/>
      <x:c r="H69" s="73"/>
      <x:c r="I69" s="73"/>
      <x:c r="J69" s="73"/>
      <x:c r="K69" s="74" t="str">
        <x:f>IF(OR(D69="",E69=""),"",IFERROR(D69/E69,""))</x:f>
      </x:c>
      <x:c r="L69" s="75" t="str">
        <x:f>IF(OR(F69="",C69=""),"",IFERROR(F69/C69*1000,""))</x:f>
      </x:c>
      <x:c r="M69" s="74" t="str">
        <x:f>IF(OR(H69="",G69=""),"",IFERROR(H69/G69,""))</x:f>
      </x:c>
      <x:c r="N69" s="74" t="str">
        <x:f>IF(OR(I69="",J69=""),"",IFERROR(I69/J69,""))</x:f>
      </x:c>
      <x:c r="O69" s="76" t="str">
        <x:f>IF(A69="","",TEXTJOIN("; ",TRUE,IF(C69&lt;=0,"Population missing/invalid",""),IF(E69&lt;=0,"TB estimated cases missing/invalid",""),IF(D69&gt;E69,"TB notified &gt; estimated incident cases",""),IF(F69&gt;C69,"Malaria cases &gt; population (review period/definition)",""),IF(G69&lt;=0,"PLHIV denominator missing/invalid",""),IF(H69&gt;G69,"ART count &gt; estimated PLHIV",""),IF(J69&lt;=0,"HIV population-at-risk missing/invalid",""),IF(I69&gt;J69,"New HIV infections &gt; population at risk","")))</x:f>
      </x:c>
    </x:row>
    <x:row r="70">
      <x:c r="A70" s="71"/>
      <x:c r="B70" s="72"/>
      <x:c r="C70" s="73"/>
      <x:c r="D70" s="73"/>
      <x:c r="E70" s="73"/>
      <x:c r="F70" s="73"/>
      <x:c r="G70" s="73"/>
      <x:c r="H70" s="73"/>
      <x:c r="I70" s="73"/>
      <x:c r="J70" s="73"/>
      <x:c r="K70" s="74" t="str">
        <x:f>IF(OR(D70="",E70=""),"",IFERROR(D70/E70,""))</x:f>
      </x:c>
      <x:c r="L70" s="75" t="str">
        <x:f>IF(OR(F70="",C70=""),"",IFERROR(F70/C70*1000,""))</x:f>
      </x:c>
      <x:c r="M70" s="74" t="str">
        <x:f>IF(OR(H70="",G70=""),"",IFERROR(H70/G70,""))</x:f>
      </x:c>
      <x:c r="N70" s="74" t="str">
        <x:f>IF(OR(I70="",J70=""),"",IFERROR(I70/J70,""))</x:f>
      </x:c>
      <x:c r="O70" s="76" t="str">
        <x:f>IF(A70="","",TEXTJOIN("; ",TRUE,IF(C70&lt;=0,"Population missing/invalid",""),IF(E70&lt;=0,"TB estimated cases missing/invalid",""),IF(D70&gt;E70,"TB notified &gt; estimated incident cases",""),IF(F70&gt;C70,"Malaria cases &gt; population (review period/definition)",""),IF(G70&lt;=0,"PLHIV denominator missing/invalid",""),IF(H70&gt;G70,"ART count &gt; estimated PLHIV",""),IF(J70&lt;=0,"HIV population-at-risk missing/invalid",""),IF(I70&gt;J70,"New HIV infections &gt; population at risk","")))</x:f>
      </x:c>
    </x:row>
    <x:row r="71">
      <x:c r="A71" s="71"/>
      <x:c r="B71" s="72"/>
      <x:c r="C71" s="73"/>
      <x:c r="D71" s="73"/>
      <x:c r="E71" s="73"/>
      <x:c r="F71" s="73"/>
      <x:c r="G71" s="73"/>
      <x:c r="H71" s="73"/>
      <x:c r="I71" s="73"/>
      <x:c r="J71" s="73"/>
      <x:c r="K71" s="74" t="str">
        <x:f>IF(OR(D71="",E71=""),"",IFERROR(D71/E71,""))</x:f>
      </x:c>
      <x:c r="L71" s="75" t="str">
        <x:f>IF(OR(F71="",C71=""),"",IFERROR(F71/C71*1000,""))</x:f>
      </x:c>
      <x:c r="M71" s="74" t="str">
        <x:f>IF(OR(H71="",G71=""),"",IFERROR(H71/G71,""))</x:f>
      </x:c>
      <x:c r="N71" s="74" t="str">
        <x:f>IF(OR(I71="",J71=""),"",IFERROR(I71/J71,""))</x:f>
      </x:c>
      <x:c r="O71" s="76" t="str">
        <x:f>IF(A71="","",TEXTJOIN("; ",TRUE,IF(C71&lt;=0,"Population missing/invalid",""),IF(E71&lt;=0,"TB estimated cases missing/invalid",""),IF(D71&gt;E71,"TB notified &gt; estimated incident cases",""),IF(F71&gt;C71,"Malaria cases &gt; population (review period/definition)",""),IF(G71&lt;=0,"PLHIV denominator missing/invalid",""),IF(H71&gt;G71,"ART count &gt; estimated PLHIV",""),IF(J71&lt;=0,"HIV population-at-risk missing/invalid",""),IF(I71&gt;J71,"New HIV infections &gt; population at risk","")))</x:f>
      </x:c>
    </x:row>
    <x:row r="72">
      <x:c r="A72" s="71"/>
      <x:c r="B72" s="72"/>
      <x:c r="C72" s="73"/>
      <x:c r="D72" s="73"/>
      <x:c r="E72" s="73"/>
      <x:c r="F72" s="73"/>
      <x:c r="G72" s="73"/>
      <x:c r="H72" s="73"/>
      <x:c r="I72" s="73"/>
      <x:c r="J72" s="73"/>
      <x:c r="K72" s="74" t="str">
        <x:f>IF(OR(D72="",E72=""),"",IFERROR(D72/E72,""))</x:f>
      </x:c>
      <x:c r="L72" s="75" t="str">
        <x:f>IF(OR(F72="",C72=""),"",IFERROR(F72/C72*1000,""))</x:f>
      </x:c>
      <x:c r="M72" s="74" t="str">
        <x:f>IF(OR(H72="",G72=""),"",IFERROR(H72/G72,""))</x:f>
      </x:c>
      <x:c r="N72" s="74" t="str">
        <x:f>IF(OR(I72="",J72=""),"",IFERROR(I72/J72,""))</x:f>
      </x:c>
      <x:c r="O72" s="76" t="str">
        <x:f>IF(A72="","",TEXTJOIN("; ",TRUE,IF(C72&lt;=0,"Population missing/invalid",""),IF(E72&lt;=0,"TB estimated cases missing/invalid",""),IF(D72&gt;E72,"TB notified &gt; estimated incident cases",""),IF(F72&gt;C72,"Malaria cases &gt; population (review period/definition)",""),IF(G72&lt;=0,"PLHIV denominator missing/invalid",""),IF(H72&gt;G72,"ART count &gt; estimated PLHIV",""),IF(J72&lt;=0,"HIV population-at-risk missing/invalid",""),IF(I72&gt;J72,"New HIV infections &gt; population at risk","")))</x:f>
      </x:c>
    </x:row>
    <x:row r="73">
      <x:c r="A73" s="71"/>
      <x:c r="B73" s="72"/>
      <x:c r="C73" s="73"/>
      <x:c r="D73" s="73"/>
      <x:c r="E73" s="73"/>
      <x:c r="F73" s="73"/>
      <x:c r="G73" s="73"/>
      <x:c r="H73" s="73"/>
      <x:c r="I73" s="73"/>
      <x:c r="J73" s="73"/>
      <x:c r="K73" s="74" t="str">
        <x:f>IF(OR(D73="",E73=""),"",IFERROR(D73/E73,""))</x:f>
      </x:c>
      <x:c r="L73" s="75" t="str">
        <x:f>IF(OR(F73="",C73=""),"",IFERROR(F73/C73*1000,""))</x:f>
      </x:c>
      <x:c r="M73" s="74" t="str">
        <x:f>IF(OR(H73="",G73=""),"",IFERROR(H73/G73,""))</x:f>
      </x:c>
      <x:c r="N73" s="74" t="str">
        <x:f>IF(OR(I73="",J73=""),"",IFERROR(I73/J73,""))</x:f>
      </x:c>
      <x:c r="O73" s="76" t="str">
        <x:f>IF(A73="","",TEXTJOIN("; ",TRUE,IF(C73&lt;=0,"Population missing/invalid",""),IF(E73&lt;=0,"TB estimated cases missing/invalid",""),IF(D73&gt;E73,"TB notified &gt; estimated incident cases",""),IF(F73&gt;C73,"Malaria cases &gt; population (review period/definition)",""),IF(G73&lt;=0,"PLHIV denominator missing/invalid",""),IF(H73&gt;G73,"ART count &gt; estimated PLHIV",""),IF(J73&lt;=0,"HIV population-at-risk missing/invalid",""),IF(I73&gt;J73,"New HIV infections &gt; population at risk","")))</x:f>
      </x:c>
    </x:row>
    <x:row r="74">
      <x:c r="A74" s="71"/>
      <x:c r="B74" s="72"/>
      <x:c r="C74" s="73"/>
      <x:c r="D74" s="73"/>
      <x:c r="E74" s="73"/>
      <x:c r="F74" s="73"/>
      <x:c r="G74" s="73"/>
      <x:c r="H74" s="73"/>
      <x:c r="I74" s="73"/>
      <x:c r="J74" s="73"/>
      <x:c r="K74" s="74" t="str">
        <x:f>IF(OR(D74="",E74=""),"",IFERROR(D74/E74,""))</x:f>
      </x:c>
      <x:c r="L74" s="75" t="str">
        <x:f>IF(OR(F74="",C74=""),"",IFERROR(F74/C74*1000,""))</x:f>
      </x:c>
      <x:c r="M74" s="74" t="str">
        <x:f>IF(OR(H74="",G74=""),"",IFERROR(H74/G74,""))</x:f>
      </x:c>
      <x:c r="N74" s="74" t="str">
        <x:f>IF(OR(I74="",J74=""),"",IFERROR(I74/J74,""))</x:f>
      </x:c>
      <x:c r="O74" s="76" t="str">
        <x:f>IF(A74="","",TEXTJOIN("; ",TRUE,IF(C74&lt;=0,"Population missing/invalid",""),IF(E74&lt;=0,"TB estimated cases missing/invalid",""),IF(D74&gt;E74,"TB notified &gt; estimated incident cases",""),IF(F74&gt;C74,"Malaria cases &gt; population (review period/definition)",""),IF(G74&lt;=0,"PLHIV denominator missing/invalid",""),IF(H74&gt;G74,"ART count &gt; estimated PLHIV",""),IF(J74&lt;=0,"HIV population-at-risk missing/invalid",""),IF(I74&gt;J74,"New HIV infections &gt; population at risk","")))</x:f>
      </x:c>
    </x:row>
    <x:row r="75">
      <x:c r="A75" s="71"/>
      <x:c r="B75" s="72"/>
      <x:c r="C75" s="73"/>
      <x:c r="D75" s="73"/>
      <x:c r="E75" s="73"/>
      <x:c r="F75" s="73"/>
      <x:c r="G75" s="73"/>
      <x:c r="H75" s="73"/>
      <x:c r="I75" s="73"/>
      <x:c r="J75" s="73"/>
      <x:c r="K75" s="74" t="str">
        <x:f>IF(OR(D75="",E75=""),"",IFERROR(D75/E75,""))</x:f>
      </x:c>
      <x:c r="L75" s="75" t="str">
        <x:f>IF(OR(F75="",C75=""),"",IFERROR(F75/C75*1000,""))</x:f>
      </x:c>
      <x:c r="M75" s="74" t="str">
        <x:f>IF(OR(H75="",G75=""),"",IFERROR(H75/G75,""))</x:f>
      </x:c>
      <x:c r="N75" s="74" t="str">
        <x:f>IF(OR(I75="",J75=""),"",IFERROR(I75/J75,""))</x:f>
      </x:c>
      <x:c r="O75" s="76" t="str">
        <x:f>IF(A75="","",TEXTJOIN("; ",TRUE,IF(C75&lt;=0,"Population missing/invalid",""),IF(E75&lt;=0,"TB estimated cases missing/invalid",""),IF(D75&gt;E75,"TB notified &gt; estimated incident cases",""),IF(F75&gt;C75,"Malaria cases &gt; population (review period/definition)",""),IF(G75&lt;=0,"PLHIV denominator missing/invalid",""),IF(H75&gt;G75,"ART count &gt; estimated PLHIV",""),IF(J75&lt;=0,"HIV population-at-risk missing/invalid",""),IF(I75&gt;J75,"New HIV infections &gt; population at risk","")))</x:f>
      </x:c>
    </x:row>
    <x:row r="76">
      <x:c r="A76" s="71"/>
      <x:c r="B76" s="72"/>
      <x:c r="C76" s="73"/>
      <x:c r="D76" s="73"/>
      <x:c r="E76" s="73"/>
      <x:c r="F76" s="73"/>
      <x:c r="G76" s="73"/>
      <x:c r="H76" s="73"/>
      <x:c r="I76" s="73"/>
      <x:c r="J76" s="73"/>
      <x:c r="K76" s="74" t="str">
        <x:f>IF(OR(D76="",E76=""),"",IFERROR(D76/E76,""))</x:f>
      </x:c>
      <x:c r="L76" s="75" t="str">
        <x:f>IF(OR(F76="",C76=""),"",IFERROR(F76/C76*1000,""))</x:f>
      </x:c>
      <x:c r="M76" s="74" t="str">
        <x:f>IF(OR(H76="",G76=""),"",IFERROR(H76/G76,""))</x:f>
      </x:c>
      <x:c r="N76" s="74" t="str">
        <x:f>IF(OR(I76="",J76=""),"",IFERROR(I76/J76,""))</x:f>
      </x:c>
      <x:c r="O76" s="76" t="str">
        <x:f>IF(A76="","",TEXTJOIN("; ",TRUE,IF(C76&lt;=0,"Population missing/invalid",""),IF(E76&lt;=0,"TB estimated cases missing/invalid",""),IF(D76&gt;E76,"TB notified &gt; estimated incident cases",""),IF(F76&gt;C76,"Malaria cases &gt; population (review period/definition)",""),IF(G76&lt;=0,"PLHIV denominator missing/invalid",""),IF(H76&gt;G76,"ART count &gt; estimated PLHIV",""),IF(J76&lt;=0,"HIV population-at-risk missing/invalid",""),IF(I76&gt;J76,"New HIV infections &gt; population at risk","")))</x:f>
      </x:c>
    </x:row>
    <x:row r="77">
      <x:c r="A77" s="71"/>
      <x:c r="B77" s="72"/>
      <x:c r="C77" s="73"/>
      <x:c r="D77" s="73"/>
      <x:c r="E77" s="73"/>
      <x:c r="F77" s="73"/>
      <x:c r="G77" s="73"/>
      <x:c r="H77" s="73"/>
      <x:c r="I77" s="73"/>
      <x:c r="J77" s="73"/>
      <x:c r="K77" s="74" t="str">
        <x:f>IF(OR(D77="",E77=""),"",IFERROR(D77/E77,""))</x:f>
      </x:c>
      <x:c r="L77" s="75" t="str">
        <x:f>IF(OR(F77="",C77=""),"",IFERROR(F77/C77*1000,""))</x:f>
      </x:c>
      <x:c r="M77" s="74" t="str">
        <x:f>IF(OR(H77="",G77=""),"",IFERROR(H77/G77,""))</x:f>
      </x:c>
      <x:c r="N77" s="74" t="str">
        <x:f>IF(OR(I77="",J77=""),"",IFERROR(I77/J77,""))</x:f>
      </x:c>
      <x:c r="O77" s="76" t="str">
        <x:f>IF(A77="","",TEXTJOIN("; ",TRUE,IF(C77&lt;=0,"Population missing/invalid",""),IF(E77&lt;=0,"TB estimated cases missing/invalid",""),IF(D77&gt;E77,"TB notified &gt; estimated incident cases",""),IF(F77&gt;C77,"Malaria cases &gt; population (review period/definition)",""),IF(G77&lt;=0,"PLHIV denominator missing/invalid",""),IF(H77&gt;G77,"ART count &gt; estimated PLHIV",""),IF(J77&lt;=0,"HIV population-at-risk missing/invalid",""),IF(I77&gt;J77,"New HIV infections &gt; population at risk","")))</x:f>
      </x:c>
    </x:row>
    <x:row r="78">
      <x:c r="A78" s="71"/>
      <x:c r="B78" s="72"/>
      <x:c r="C78" s="73"/>
      <x:c r="D78" s="73"/>
      <x:c r="E78" s="73"/>
      <x:c r="F78" s="73"/>
      <x:c r="G78" s="73"/>
      <x:c r="H78" s="73"/>
      <x:c r="I78" s="73"/>
      <x:c r="J78" s="73"/>
      <x:c r="K78" s="74" t="str">
        <x:f>IF(OR(D78="",E78=""),"",IFERROR(D78/E78,""))</x:f>
      </x:c>
      <x:c r="L78" s="75" t="str">
        <x:f>IF(OR(F78="",C78=""),"",IFERROR(F78/C78*1000,""))</x:f>
      </x:c>
      <x:c r="M78" s="74" t="str">
        <x:f>IF(OR(H78="",G78=""),"",IFERROR(H78/G78,""))</x:f>
      </x:c>
      <x:c r="N78" s="74" t="str">
        <x:f>IF(OR(I78="",J78=""),"",IFERROR(I78/J78,""))</x:f>
      </x:c>
      <x:c r="O78" s="76" t="str">
        <x:f>IF(A78="","",TEXTJOIN("; ",TRUE,IF(C78&lt;=0,"Population missing/invalid",""),IF(E78&lt;=0,"TB estimated cases missing/invalid",""),IF(D78&gt;E78,"TB notified &gt; estimated incident cases",""),IF(F78&gt;C78,"Malaria cases &gt; population (review period/definition)",""),IF(G78&lt;=0,"PLHIV denominator missing/invalid",""),IF(H78&gt;G78,"ART count &gt; estimated PLHIV",""),IF(J78&lt;=0,"HIV population-at-risk missing/invalid",""),IF(I78&gt;J78,"New HIV infections &gt; population at risk","")))</x:f>
      </x:c>
    </x:row>
    <x:row r="79">
      <x:c r="A79" s="71"/>
      <x:c r="B79" s="72"/>
      <x:c r="C79" s="73"/>
      <x:c r="D79" s="73"/>
      <x:c r="E79" s="73"/>
      <x:c r="F79" s="73"/>
      <x:c r="G79" s="73"/>
      <x:c r="H79" s="73"/>
      <x:c r="I79" s="73"/>
      <x:c r="J79" s="73"/>
      <x:c r="K79" s="74" t="str">
        <x:f>IF(OR(D79="",E79=""),"",IFERROR(D79/E79,""))</x:f>
      </x:c>
      <x:c r="L79" s="75" t="str">
        <x:f>IF(OR(F79="",C79=""),"",IFERROR(F79/C79*1000,""))</x:f>
      </x:c>
      <x:c r="M79" s="74" t="str">
        <x:f>IF(OR(H79="",G79=""),"",IFERROR(H79/G79,""))</x:f>
      </x:c>
      <x:c r="N79" s="74" t="str">
        <x:f>IF(OR(I79="",J79=""),"",IFERROR(I79/J79,""))</x:f>
      </x:c>
      <x:c r="O79" s="76" t="str">
        <x:f>IF(A79="","",TEXTJOIN("; ",TRUE,IF(C79&lt;=0,"Population missing/invalid",""),IF(E79&lt;=0,"TB estimated cases missing/invalid",""),IF(D79&gt;E79,"TB notified &gt; estimated incident cases",""),IF(F79&gt;C79,"Malaria cases &gt; population (review period/definition)",""),IF(G79&lt;=0,"PLHIV denominator missing/invalid",""),IF(H79&gt;G79,"ART count &gt; estimated PLHIV",""),IF(J79&lt;=0,"HIV population-at-risk missing/invalid",""),IF(I79&gt;J79,"New HIV infections &gt; population at risk","")))</x:f>
      </x:c>
    </x:row>
    <x:row r="80">
      <x:c r="A80" s="71"/>
      <x:c r="B80" s="72"/>
      <x:c r="C80" s="73"/>
      <x:c r="D80" s="73"/>
      <x:c r="E80" s="73"/>
      <x:c r="F80" s="73"/>
      <x:c r="G80" s="73"/>
      <x:c r="H80" s="73"/>
      <x:c r="I80" s="73"/>
      <x:c r="J80" s="73"/>
      <x:c r="K80" s="74" t="str">
        <x:f>IF(OR(D80="",E80=""),"",IFERROR(D80/E80,""))</x:f>
      </x:c>
      <x:c r="L80" s="75" t="str">
        <x:f>IF(OR(F80="",C80=""),"",IFERROR(F80/C80*1000,""))</x:f>
      </x:c>
      <x:c r="M80" s="74" t="str">
        <x:f>IF(OR(H80="",G80=""),"",IFERROR(H80/G80,""))</x:f>
      </x:c>
      <x:c r="N80" s="74" t="str">
        <x:f>IF(OR(I80="",J80=""),"",IFERROR(I80/J80,""))</x:f>
      </x:c>
      <x:c r="O80" s="76" t="str">
        <x:f>IF(A80="","",TEXTJOIN("; ",TRUE,IF(C80&lt;=0,"Population missing/invalid",""),IF(E80&lt;=0,"TB estimated cases missing/invalid",""),IF(D80&gt;E80,"TB notified &gt; estimated incident cases",""),IF(F80&gt;C80,"Malaria cases &gt; population (review period/definition)",""),IF(G80&lt;=0,"PLHIV denominator missing/invalid",""),IF(H80&gt;G80,"ART count &gt; estimated PLHIV",""),IF(J80&lt;=0,"HIV population-at-risk missing/invalid",""),IF(I80&gt;J80,"New HIV infections &gt; population at risk","")))</x:f>
      </x:c>
    </x:row>
    <x:row r="81">
      <x:c r="A81" s="71"/>
      <x:c r="B81" s="72"/>
      <x:c r="C81" s="73"/>
      <x:c r="D81" s="73"/>
      <x:c r="E81" s="73"/>
      <x:c r="F81" s="73"/>
      <x:c r="G81" s="73"/>
      <x:c r="H81" s="73"/>
      <x:c r="I81" s="73"/>
      <x:c r="J81" s="73"/>
      <x:c r="K81" s="74" t="str">
        <x:f>IF(OR(D81="",E81=""),"",IFERROR(D81/E81,""))</x:f>
      </x:c>
      <x:c r="L81" s="75" t="str">
        <x:f>IF(OR(F81="",C81=""),"",IFERROR(F81/C81*1000,""))</x:f>
      </x:c>
      <x:c r="M81" s="74" t="str">
        <x:f>IF(OR(H81="",G81=""),"",IFERROR(H81/G81,""))</x:f>
      </x:c>
      <x:c r="N81" s="74" t="str">
        <x:f>IF(OR(I81="",J81=""),"",IFERROR(I81/J81,""))</x:f>
      </x:c>
      <x:c r="O81" s="76" t="str">
        <x:f>IF(A81="","",TEXTJOIN("; ",TRUE,IF(C81&lt;=0,"Population missing/invalid",""),IF(E81&lt;=0,"TB estimated cases missing/invalid",""),IF(D81&gt;E81,"TB notified &gt; estimated incident cases",""),IF(F81&gt;C81,"Malaria cases &gt; population (review period/definition)",""),IF(G81&lt;=0,"PLHIV denominator missing/invalid",""),IF(H81&gt;G81,"ART count &gt; estimated PLHIV",""),IF(J81&lt;=0,"HIV population-at-risk missing/invalid",""),IF(I81&gt;J81,"New HIV infections &gt; population at risk","")))</x:f>
      </x:c>
    </x:row>
    <x:row r="82">
      <x:c r="A82" s="71"/>
      <x:c r="B82" s="72"/>
      <x:c r="C82" s="73"/>
      <x:c r="D82" s="73"/>
      <x:c r="E82" s="73"/>
      <x:c r="F82" s="73"/>
      <x:c r="G82" s="73"/>
      <x:c r="H82" s="73"/>
      <x:c r="I82" s="73"/>
      <x:c r="J82" s="73"/>
      <x:c r="K82" s="74" t="str">
        <x:f>IF(OR(D82="",E82=""),"",IFERROR(D82/E82,""))</x:f>
      </x:c>
      <x:c r="L82" s="75" t="str">
        <x:f>IF(OR(F82="",C82=""),"",IFERROR(F82/C82*1000,""))</x:f>
      </x:c>
      <x:c r="M82" s="74" t="str">
        <x:f>IF(OR(H82="",G82=""),"",IFERROR(H82/G82,""))</x:f>
      </x:c>
      <x:c r="N82" s="74" t="str">
        <x:f>IF(OR(I82="",J82=""),"",IFERROR(I82/J82,""))</x:f>
      </x:c>
      <x:c r="O82" s="76" t="str">
        <x:f>IF(A82="","",TEXTJOIN("; ",TRUE,IF(C82&lt;=0,"Population missing/invalid",""),IF(E82&lt;=0,"TB estimated cases missing/invalid",""),IF(D82&gt;E82,"TB notified &gt; estimated incident cases",""),IF(F82&gt;C82,"Malaria cases &gt; population (review period/definition)",""),IF(G82&lt;=0,"PLHIV denominator missing/invalid",""),IF(H82&gt;G82,"ART count &gt; estimated PLHIV",""),IF(J82&lt;=0,"HIV population-at-risk missing/invalid",""),IF(I82&gt;J82,"New HIV infections &gt; population at risk","")))</x:f>
      </x:c>
    </x:row>
    <x:row r="83">
      <x:c r="A83" s="71"/>
      <x:c r="B83" s="72"/>
      <x:c r="C83" s="73"/>
      <x:c r="D83" s="73"/>
      <x:c r="E83" s="73"/>
      <x:c r="F83" s="73"/>
      <x:c r="G83" s="73"/>
      <x:c r="H83" s="73"/>
      <x:c r="I83" s="73"/>
      <x:c r="J83" s="73"/>
      <x:c r="K83" s="74" t="str">
        <x:f>IF(OR(D83="",E83=""),"",IFERROR(D83/E83,""))</x:f>
      </x:c>
      <x:c r="L83" s="75" t="str">
        <x:f>IF(OR(F83="",C83=""),"",IFERROR(F83/C83*1000,""))</x:f>
      </x:c>
      <x:c r="M83" s="74" t="str">
        <x:f>IF(OR(H83="",G83=""),"",IFERROR(H83/G83,""))</x:f>
      </x:c>
      <x:c r="N83" s="74" t="str">
        <x:f>IF(OR(I83="",J83=""),"",IFERROR(I83/J83,""))</x:f>
      </x:c>
      <x:c r="O83" s="76" t="str">
        <x:f>IF(A83="","",TEXTJOIN("; ",TRUE,IF(C83&lt;=0,"Population missing/invalid",""),IF(E83&lt;=0,"TB estimated cases missing/invalid",""),IF(D83&gt;E83,"TB notified &gt; estimated incident cases",""),IF(F83&gt;C83,"Malaria cases &gt; population (review period/definition)",""),IF(G83&lt;=0,"PLHIV denominator missing/invalid",""),IF(H83&gt;G83,"ART count &gt; estimated PLHIV",""),IF(J83&lt;=0,"HIV population-at-risk missing/invalid",""),IF(I83&gt;J83,"New HIV infections &gt; population at risk","")))</x:f>
      </x:c>
    </x:row>
    <x:row r="84">
      <x:c r="A84" s="71"/>
      <x:c r="B84" s="72"/>
      <x:c r="C84" s="73"/>
      <x:c r="D84" s="73"/>
      <x:c r="E84" s="73"/>
      <x:c r="F84" s="73"/>
      <x:c r="G84" s="73"/>
      <x:c r="H84" s="73"/>
      <x:c r="I84" s="73"/>
      <x:c r="J84" s="73"/>
      <x:c r="K84" s="74" t="str">
        <x:f>IF(OR(D84="",E84=""),"",IFERROR(D84/E84,""))</x:f>
      </x:c>
      <x:c r="L84" s="75" t="str">
        <x:f>IF(OR(F84="",C84=""),"",IFERROR(F84/C84*1000,""))</x:f>
      </x:c>
      <x:c r="M84" s="74" t="str">
        <x:f>IF(OR(H84="",G84=""),"",IFERROR(H84/G84,""))</x:f>
      </x:c>
      <x:c r="N84" s="74" t="str">
        <x:f>IF(OR(I84="",J84=""),"",IFERROR(I84/J84,""))</x:f>
      </x:c>
      <x:c r="O84" s="76" t="str">
        <x:f>IF(A84="","",TEXTJOIN("; ",TRUE,IF(C84&lt;=0,"Population missing/invalid",""),IF(E84&lt;=0,"TB estimated cases missing/invalid",""),IF(D84&gt;E84,"TB notified &gt; estimated incident cases",""),IF(F84&gt;C84,"Malaria cases &gt; population (review period/definition)",""),IF(G84&lt;=0,"PLHIV denominator missing/invalid",""),IF(H84&gt;G84,"ART count &gt; estimated PLHIV",""),IF(J84&lt;=0,"HIV population-at-risk missing/invalid",""),IF(I84&gt;J84,"New HIV infections &gt; population at risk","")))</x:f>
      </x:c>
    </x:row>
    <x:row r="85">
      <x:c r="A85" s="71"/>
      <x:c r="B85" s="72"/>
      <x:c r="C85" s="73"/>
      <x:c r="D85" s="73"/>
      <x:c r="E85" s="73"/>
      <x:c r="F85" s="73"/>
      <x:c r="G85" s="73"/>
      <x:c r="H85" s="73"/>
      <x:c r="I85" s="73"/>
      <x:c r="J85" s="73"/>
      <x:c r="K85" s="74" t="str">
        <x:f>IF(OR(D85="",E85=""),"",IFERROR(D85/E85,""))</x:f>
      </x:c>
      <x:c r="L85" s="75" t="str">
        <x:f>IF(OR(F85="",C85=""),"",IFERROR(F85/C85*1000,""))</x:f>
      </x:c>
      <x:c r="M85" s="74" t="str">
        <x:f>IF(OR(H85="",G85=""),"",IFERROR(H85/G85,""))</x:f>
      </x:c>
      <x:c r="N85" s="74" t="str">
        <x:f>IF(OR(I85="",J85=""),"",IFERROR(I85/J85,""))</x:f>
      </x:c>
      <x:c r="O85" s="76" t="str">
        <x:f>IF(A85="","",TEXTJOIN("; ",TRUE,IF(C85&lt;=0,"Population missing/invalid",""),IF(E85&lt;=0,"TB estimated cases missing/invalid",""),IF(D85&gt;E85,"TB notified &gt; estimated incident cases",""),IF(F85&gt;C85,"Malaria cases &gt; population (review period/definition)",""),IF(G85&lt;=0,"PLHIV denominator missing/invalid",""),IF(H85&gt;G85,"ART count &gt; estimated PLHIV",""),IF(J85&lt;=0,"HIV population-at-risk missing/invalid",""),IF(I85&gt;J85,"New HIV infections &gt; population at risk","")))</x:f>
      </x:c>
    </x:row>
    <x:row r="86">
      <x:c r="A86" s="71"/>
      <x:c r="B86" s="72"/>
      <x:c r="C86" s="73"/>
      <x:c r="D86" s="73"/>
      <x:c r="E86" s="73"/>
      <x:c r="F86" s="73"/>
      <x:c r="G86" s="73"/>
      <x:c r="H86" s="73"/>
      <x:c r="I86" s="73"/>
      <x:c r="J86" s="73"/>
      <x:c r="K86" s="74" t="str">
        <x:f>IF(OR(D86="",E86=""),"",IFERROR(D86/E86,""))</x:f>
      </x:c>
      <x:c r="L86" s="75" t="str">
        <x:f>IF(OR(F86="",C86=""),"",IFERROR(F86/C86*1000,""))</x:f>
      </x:c>
      <x:c r="M86" s="74" t="str">
        <x:f>IF(OR(H86="",G86=""),"",IFERROR(H86/G86,""))</x:f>
      </x:c>
      <x:c r="N86" s="74" t="str">
        <x:f>IF(OR(I86="",J86=""),"",IFERROR(I86/J86,""))</x:f>
      </x:c>
      <x:c r="O86" s="76" t="str">
        <x:f>IF(A86="","",TEXTJOIN("; ",TRUE,IF(C86&lt;=0,"Population missing/invalid",""),IF(E86&lt;=0,"TB estimated cases missing/invalid",""),IF(D86&gt;E86,"TB notified &gt; estimated incident cases",""),IF(F86&gt;C86,"Malaria cases &gt; population (review period/definition)",""),IF(G86&lt;=0,"PLHIV denominator missing/invalid",""),IF(H86&gt;G86,"ART count &gt; estimated PLHIV",""),IF(J86&lt;=0,"HIV population-at-risk missing/invalid",""),IF(I86&gt;J86,"New HIV infections &gt; population at risk","")))</x:f>
      </x:c>
    </x:row>
    <x:row r="87">
      <x:c r="A87" s="71"/>
      <x:c r="B87" s="72"/>
      <x:c r="C87" s="73"/>
      <x:c r="D87" s="73"/>
      <x:c r="E87" s="73"/>
      <x:c r="F87" s="73"/>
      <x:c r="G87" s="73"/>
      <x:c r="H87" s="73"/>
      <x:c r="I87" s="73"/>
      <x:c r="J87" s="73"/>
      <x:c r="K87" s="74" t="str">
        <x:f>IF(OR(D87="",E87=""),"",IFERROR(D87/E87,""))</x:f>
      </x:c>
      <x:c r="L87" s="75" t="str">
        <x:f>IF(OR(F87="",C87=""),"",IFERROR(F87/C87*1000,""))</x:f>
      </x:c>
      <x:c r="M87" s="74" t="str">
        <x:f>IF(OR(H87="",G87=""),"",IFERROR(H87/G87,""))</x:f>
      </x:c>
      <x:c r="N87" s="74" t="str">
        <x:f>IF(OR(I87="",J87=""),"",IFERROR(I87/J87,""))</x:f>
      </x:c>
      <x:c r="O87" s="76" t="str">
        <x:f>IF(A87="","",TEXTJOIN("; ",TRUE,IF(C87&lt;=0,"Population missing/invalid",""),IF(E87&lt;=0,"TB estimated cases missing/invalid",""),IF(D87&gt;E87,"TB notified &gt; estimated incident cases",""),IF(F87&gt;C87,"Malaria cases &gt; population (review period/definition)",""),IF(G87&lt;=0,"PLHIV denominator missing/invalid",""),IF(H87&gt;G87,"ART count &gt; estimated PLHIV",""),IF(J87&lt;=0,"HIV population-at-risk missing/invalid",""),IF(I87&gt;J87,"New HIV infections &gt; population at risk","")))</x:f>
      </x:c>
    </x:row>
    <x:row r="88">
      <x:c r="A88" s="71"/>
      <x:c r="B88" s="72"/>
      <x:c r="C88" s="73"/>
      <x:c r="D88" s="73"/>
      <x:c r="E88" s="73"/>
      <x:c r="F88" s="73"/>
      <x:c r="G88" s="73"/>
      <x:c r="H88" s="73"/>
      <x:c r="I88" s="73"/>
      <x:c r="J88" s="73"/>
      <x:c r="K88" s="74" t="str">
        <x:f>IF(OR(D88="",E88=""),"",IFERROR(D88/E88,""))</x:f>
      </x:c>
      <x:c r="L88" s="75" t="str">
        <x:f>IF(OR(F88="",C88=""),"",IFERROR(F88/C88*1000,""))</x:f>
      </x:c>
      <x:c r="M88" s="74" t="str">
        <x:f>IF(OR(H88="",G88=""),"",IFERROR(H88/G88,""))</x:f>
      </x:c>
      <x:c r="N88" s="74" t="str">
        <x:f>IF(OR(I88="",J88=""),"",IFERROR(I88/J88,""))</x:f>
      </x:c>
      <x:c r="O88" s="76" t="str">
        <x:f>IF(A88="","",TEXTJOIN("; ",TRUE,IF(C88&lt;=0,"Population missing/invalid",""),IF(E88&lt;=0,"TB estimated cases missing/invalid",""),IF(D88&gt;E88,"TB notified &gt; estimated incident cases",""),IF(F88&gt;C88,"Malaria cases &gt; population (review period/definition)",""),IF(G88&lt;=0,"PLHIV denominator missing/invalid",""),IF(H88&gt;G88,"ART count &gt; estimated PLHIV",""),IF(J88&lt;=0,"HIV population-at-risk missing/invalid",""),IF(I88&gt;J88,"New HIV infections &gt; population at risk","")))</x:f>
      </x:c>
    </x:row>
    <x:row r="89">
      <x:c r="A89" s="71"/>
      <x:c r="B89" s="72"/>
      <x:c r="C89" s="73"/>
      <x:c r="D89" s="73"/>
      <x:c r="E89" s="73"/>
      <x:c r="F89" s="73"/>
      <x:c r="G89" s="73"/>
      <x:c r="H89" s="73"/>
      <x:c r="I89" s="73"/>
      <x:c r="J89" s="73"/>
      <x:c r="K89" s="74" t="str">
        <x:f>IF(OR(D89="",E89=""),"",IFERROR(D89/E89,""))</x:f>
      </x:c>
      <x:c r="L89" s="75" t="str">
        <x:f>IF(OR(F89="",C89=""),"",IFERROR(F89/C89*1000,""))</x:f>
      </x:c>
      <x:c r="M89" s="74" t="str">
        <x:f>IF(OR(H89="",G89=""),"",IFERROR(H89/G89,""))</x:f>
      </x:c>
      <x:c r="N89" s="74" t="str">
        <x:f>IF(OR(I89="",J89=""),"",IFERROR(I89/J89,""))</x:f>
      </x:c>
      <x:c r="O89" s="76" t="str">
        <x:f>IF(A89="","",TEXTJOIN("; ",TRUE,IF(C89&lt;=0,"Population missing/invalid",""),IF(E89&lt;=0,"TB estimated cases missing/invalid",""),IF(D89&gt;E89,"TB notified &gt; estimated incident cases",""),IF(F89&gt;C89,"Malaria cases &gt; population (review period/definition)",""),IF(G89&lt;=0,"PLHIV denominator missing/invalid",""),IF(H89&gt;G89,"ART count &gt; estimated PLHIV",""),IF(J89&lt;=0,"HIV population-at-risk missing/invalid",""),IF(I89&gt;J89,"New HIV infections &gt; population at risk","")))</x:f>
      </x:c>
    </x:row>
    <x:row r="90">
      <x:c r="A90" s="71"/>
      <x:c r="B90" s="72"/>
      <x:c r="C90" s="73"/>
      <x:c r="D90" s="73"/>
      <x:c r="E90" s="73"/>
      <x:c r="F90" s="73"/>
      <x:c r="G90" s="73"/>
      <x:c r="H90" s="73"/>
      <x:c r="I90" s="73"/>
      <x:c r="J90" s="73"/>
      <x:c r="K90" s="74" t="str">
        <x:f>IF(OR(D90="",E90=""),"",IFERROR(D90/E90,""))</x:f>
      </x:c>
      <x:c r="L90" s="75" t="str">
        <x:f>IF(OR(F90="",C90=""),"",IFERROR(F90/C90*1000,""))</x:f>
      </x:c>
      <x:c r="M90" s="74" t="str">
        <x:f>IF(OR(H90="",G90=""),"",IFERROR(H90/G90,""))</x:f>
      </x:c>
      <x:c r="N90" s="74" t="str">
        <x:f>IF(OR(I90="",J90=""),"",IFERROR(I90/J90,""))</x:f>
      </x:c>
      <x:c r="O90" s="76" t="str">
        <x:f>IF(A90="","",TEXTJOIN("; ",TRUE,IF(C90&lt;=0,"Population missing/invalid",""),IF(E90&lt;=0,"TB estimated cases missing/invalid",""),IF(D90&gt;E90,"TB notified &gt; estimated incident cases",""),IF(F90&gt;C90,"Malaria cases &gt; population (review period/definition)",""),IF(G90&lt;=0,"PLHIV denominator missing/invalid",""),IF(H90&gt;G90,"ART count &gt; estimated PLHIV",""),IF(J90&lt;=0,"HIV population-at-risk missing/invalid",""),IF(I90&gt;J90,"New HIV infections &gt; population at risk","")))</x:f>
      </x:c>
    </x:row>
    <x:row r="91">
      <x:c r="A91" s="71"/>
      <x:c r="B91" s="72"/>
      <x:c r="C91" s="73"/>
      <x:c r="D91" s="73"/>
      <x:c r="E91" s="73"/>
      <x:c r="F91" s="73"/>
      <x:c r="G91" s="73"/>
      <x:c r="H91" s="73"/>
      <x:c r="I91" s="73"/>
      <x:c r="J91" s="73"/>
      <x:c r="K91" s="74" t="str">
        <x:f>IF(OR(D91="",E91=""),"",IFERROR(D91/E91,""))</x:f>
      </x:c>
      <x:c r="L91" s="75" t="str">
        <x:f>IF(OR(F91="",C91=""),"",IFERROR(F91/C91*1000,""))</x:f>
      </x:c>
      <x:c r="M91" s="74" t="str">
        <x:f>IF(OR(H91="",G91=""),"",IFERROR(H91/G91,""))</x:f>
      </x:c>
      <x:c r="N91" s="74" t="str">
        <x:f>IF(OR(I91="",J91=""),"",IFERROR(I91/J91,""))</x:f>
      </x:c>
      <x:c r="O91" s="76" t="str">
        <x:f>IF(A91="","",TEXTJOIN("; ",TRUE,IF(C91&lt;=0,"Population missing/invalid",""),IF(E91&lt;=0,"TB estimated cases missing/invalid",""),IF(D91&gt;E91,"TB notified &gt; estimated incident cases",""),IF(F91&gt;C91,"Malaria cases &gt; population (review period/definition)",""),IF(G91&lt;=0,"PLHIV denominator missing/invalid",""),IF(H91&gt;G91,"ART count &gt; estimated PLHIV",""),IF(J91&lt;=0,"HIV population-at-risk missing/invalid",""),IF(I91&gt;J91,"New HIV infections &gt; population at risk","")))</x:f>
      </x:c>
    </x:row>
    <x:row r="92">
      <x:c r="A92" s="71"/>
      <x:c r="B92" s="72"/>
      <x:c r="C92" s="73"/>
      <x:c r="D92" s="73"/>
      <x:c r="E92" s="73"/>
      <x:c r="F92" s="73"/>
      <x:c r="G92" s="73"/>
      <x:c r="H92" s="73"/>
      <x:c r="I92" s="73"/>
      <x:c r="J92" s="73"/>
      <x:c r="K92" s="74" t="str">
        <x:f>IF(OR(D92="",E92=""),"",IFERROR(D92/E92,""))</x:f>
      </x:c>
      <x:c r="L92" s="75" t="str">
        <x:f>IF(OR(F92="",C92=""),"",IFERROR(F92/C92*1000,""))</x:f>
      </x:c>
      <x:c r="M92" s="74" t="str">
        <x:f>IF(OR(H92="",G92=""),"",IFERROR(H92/G92,""))</x:f>
      </x:c>
      <x:c r="N92" s="74" t="str">
        <x:f>IF(OR(I92="",J92=""),"",IFERROR(I92/J92,""))</x:f>
      </x:c>
      <x:c r="O92" s="76" t="str">
        <x:f>IF(A92="","",TEXTJOIN("; ",TRUE,IF(C92&lt;=0,"Population missing/invalid",""),IF(E92&lt;=0,"TB estimated cases missing/invalid",""),IF(D92&gt;E92,"TB notified &gt; estimated incident cases",""),IF(F92&gt;C92,"Malaria cases &gt; population (review period/definition)",""),IF(G92&lt;=0,"PLHIV denominator missing/invalid",""),IF(H92&gt;G92,"ART count &gt; estimated PLHIV",""),IF(J92&lt;=0,"HIV population-at-risk missing/invalid",""),IF(I92&gt;J92,"New HIV infections &gt; population at risk","")))</x:f>
      </x:c>
    </x:row>
    <x:row r="93">
      <x:c r="A93" s="71"/>
      <x:c r="B93" s="72"/>
      <x:c r="C93" s="73"/>
      <x:c r="D93" s="73"/>
      <x:c r="E93" s="73"/>
      <x:c r="F93" s="73"/>
      <x:c r="G93" s="73"/>
      <x:c r="H93" s="73"/>
      <x:c r="I93" s="73"/>
      <x:c r="J93" s="73"/>
      <x:c r="K93" s="74" t="str">
        <x:f>IF(OR(D93="",E93=""),"",IFERROR(D93/E93,""))</x:f>
      </x:c>
      <x:c r="L93" s="75" t="str">
        <x:f>IF(OR(F93="",C93=""),"",IFERROR(F93/C93*1000,""))</x:f>
      </x:c>
      <x:c r="M93" s="74" t="str">
        <x:f>IF(OR(H93="",G93=""),"",IFERROR(H93/G93,""))</x:f>
      </x:c>
      <x:c r="N93" s="74" t="str">
        <x:f>IF(OR(I93="",J93=""),"",IFERROR(I93/J93,""))</x:f>
      </x:c>
      <x:c r="O93" s="76" t="str">
        <x:f>IF(A93="","",TEXTJOIN("; ",TRUE,IF(C93&lt;=0,"Population missing/invalid",""),IF(E93&lt;=0,"TB estimated cases missing/invalid",""),IF(D93&gt;E93,"TB notified &gt; estimated incident cases",""),IF(F93&gt;C93,"Malaria cases &gt; population (review period/definition)",""),IF(G93&lt;=0,"PLHIV denominator missing/invalid",""),IF(H93&gt;G93,"ART count &gt; estimated PLHIV",""),IF(J93&lt;=0,"HIV population-at-risk missing/invalid",""),IF(I93&gt;J93,"New HIV infections &gt; population at risk","")))</x:f>
      </x:c>
    </x:row>
    <x:row r="94">
      <x:c r="A94" s="71"/>
      <x:c r="B94" s="72"/>
      <x:c r="C94" s="73"/>
      <x:c r="D94" s="73"/>
      <x:c r="E94" s="73"/>
      <x:c r="F94" s="73"/>
      <x:c r="G94" s="73"/>
      <x:c r="H94" s="73"/>
      <x:c r="I94" s="73"/>
      <x:c r="J94" s="73"/>
      <x:c r="K94" s="74" t="str">
        <x:f>IF(OR(D94="",E94=""),"",IFERROR(D94/E94,""))</x:f>
      </x:c>
      <x:c r="L94" s="75" t="str">
        <x:f>IF(OR(F94="",C94=""),"",IFERROR(F94/C94*1000,""))</x:f>
      </x:c>
      <x:c r="M94" s="74" t="str">
        <x:f>IF(OR(H94="",G94=""),"",IFERROR(H94/G94,""))</x:f>
      </x:c>
      <x:c r="N94" s="74" t="str">
        <x:f>IF(OR(I94="",J94=""),"",IFERROR(I94/J94,""))</x:f>
      </x:c>
      <x:c r="O94" s="76" t="str">
        <x:f>IF(A94="","",TEXTJOIN("; ",TRUE,IF(C94&lt;=0,"Population missing/invalid",""),IF(E94&lt;=0,"TB estimated cases missing/invalid",""),IF(D94&gt;E94,"TB notified &gt; estimated incident cases",""),IF(F94&gt;C94,"Malaria cases &gt; population (review period/definition)",""),IF(G94&lt;=0,"PLHIV denominator missing/invalid",""),IF(H94&gt;G94,"ART count &gt; estimated PLHIV",""),IF(J94&lt;=0,"HIV population-at-risk missing/invalid",""),IF(I94&gt;J94,"New HIV infections &gt; population at risk","")))</x:f>
      </x:c>
    </x:row>
    <x:row r="95">
      <x:c r="A95" s="71"/>
      <x:c r="B95" s="72"/>
      <x:c r="C95" s="73"/>
      <x:c r="D95" s="73"/>
      <x:c r="E95" s="73"/>
      <x:c r="F95" s="73"/>
      <x:c r="G95" s="73"/>
      <x:c r="H95" s="73"/>
      <x:c r="I95" s="73"/>
      <x:c r="J95" s="73"/>
      <x:c r="K95" s="74" t="str">
        <x:f>IF(OR(D95="",E95=""),"",IFERROR(D95/E95,""))</x:f>
      </x:c>
      <x:c r="L95" s="75" t="str">
        <x:f>IF(OR(F95="",C95=""),"",IFERROR(F95/C95*1000,""))</x:f>
      </x:c>
      <x:c r="M95" s="74" t="str">
        <x:f>IF(OR(H95="",G95=""),"",IFERROR(H95/G95,""))</x:f>
      </x:c>
      <x:c r="N95" s="74" t="str">
        <x:f>IF(OR(I95="",J95=""),"",IFERROR(I95/J95,""))</x:f>
      </x:c>
      <x:c r="O95" s="76" t="str">
        <x:f>IF(A95="","",TEXTJOIN("; ",TRUE,IF(C95&lt;=0,"Population missing/invalid",""),IF(E95&lt;=0,"TB estimated cases missing/invalid",""),IF(D95&gt;E95,"TB notified &gt; estimated incident cases",""),IF(F95&gt;C95,"Malaria cases &gt; population (review period/definition)",""),IF(G95&lt;=0,"PLHIV denominator missing/invalid",""),IF(H95&gt;G95,"ART count &gt; estimated PLHIV",""),IF(J95&lt;=0,"HIV population-at-risk missing/invalid",""),IF(I95&gt;J95,"New HIV infections &gt; population at risk","")))</x:f>
      </x:c>
    </x:row>
    <x:row r="96">
      <x:c r="A96" s="71"/>
      <x:c r="B96" s="72"/>
      <x:c r="C96" s="73"/>
      <x:c r="D96" s="73"/>
      <x:c r="E96" s="73"/>
      <x:c r="F96" s="73"/>
      <x:c r="G96" s="73"/>
      <x:c r="H96" s="73"/>
      <x:c r="I96" s="73"/>
      <x:c r="J96" s="73"/>
      <x:c r="K96" s="74" t="str">
        <x:f>IF(OR(D96="",E96=""),"",IFERROR(D96/E96,""))</x:f>
      </x:c>
      <x:c r="L96" s="75" t="str">
        <x:f>IF(OR(F96="",C96=""),"",IFERROR(F96/C96*1000,""))</x:f>
      </x:c>
      <x:c r="M96" s="74" t="str">
        <x:f>IF(OR(H96="",G96=""),"",IFERROR(H96/G96,""))</x:f>
      </x:c>
      <x:c r="N96" s="74" t="str">
        <x:f>IF(OR(I96="",J96=""),"",IFERROR(I96/J96,""))</x:f>
      </x:c>
      <x:c r="O96" s="76" t="str">
        <x:f>IF(A96="","",TEXTJOIN("; ",TRUE,IF(C96&lt;=0,"Population missing/invalid",""),IF(E96&lt;=0,"TB estimated cases missing/invalid",""),IF(D96&gt;E96,"TB notified &gt; estimated incident cases",""),IF(F96&gt;C96,"Malaria cases &gt; population (review period/definition)",""),IF(G96&lt;=0,"PLHIV denominator missing/invalid",""),IF(H96&gt;G96,"ART count &gt; estimated PLHIV",""),IF(J96&lt;=0,"HIV population-at-risk missing/invalid",""),IF(I96&gt;J96,"New HIV infections &gt; population at risk","")))</x:f>
      </x:c>
    </x:row>
    <x:row r="97">
      <x:c r="A97" s="71"/>
      <x:c r="B97" s="72"/>
      <x:c r="C97" s="73"/>
      <x:c r="D97" s="73"/>
      <x:c r="E97" s="73"/>
      <x:c r="F97" s="73"/>
      <x:c r="G97" s="73"/>
      <x:c r="H97" s="73"/>
      <x:c r="I97" s="73"/>
      <x:c r="J97" s="73"/>
      <x:c r="K97" s="74" t="str">
        <x:f>IF(OR(D97="",E97=""),"",IFERROR(D97/E97,""))</x:f>
      </x:c>
      <x:c r="L97" s="75" t="str">
        <x:f>IF(OR(F97="",C97=""),"",IFERROR(F97/C97*1000,""))</x:f>
      </x:c>
      <x:c r="M97" s="74" t="str">
        <x:f>IF(OR(H97="",G97=""),"",IFERROR(H97/G97,""))</x:f>
      </x:c>
      <x:c r="N97" s="74" t="str">
        <x:f>IF(OR(I97="",J97=""),"",IFERROR(I97/J97,""))</x:f>
      </x:c>
      <x:c r="O97" s="76" t="str">
        <x:f>IF(A97="","",TEXTJOIN("; ",TRUE,IF(C97&lt;=0,"Population missing/invalid",""),IF(E97&lt;=0,"TB estimated cases missing/invalid",""),IF(D97&gt;E97,"TB notified &gt; estimated incident cases",""),IF(F97&gt;C97,"Malaria cases &gt; population (review period/definition)",""),IF(G97&lt;=0,"PLHIV denominator missing/invalid",""),IF(H97&gt;G97,"ART count &gt; estimated PLHIV",""),IF(J97&lt;=0,"HIV population-at-risk missing/invalid",""),IF(I97&gt;J97,"New HIV infections &gt; population at risk","")))</x:f>
      </x:c>
    </x:row>
    <x:row r="98">
      <x:c r="A98" s="71"/>
      <x:c r="B98" s="72"/>
      <x:c r="C98" s="73"/>
      <x:c r="D98" s="73"/>
      <x:c r="E98" s="73"/>
      <x:c r="F98" s="73"/>
      <x:c r="G98" s="73"/>
      <x:c r="H98" s="73"/>
      <x:c r="I98" s="73"/>
      <x:c r="J98" s="73"/>
      <x:c r="K98" s="74" t="str">
        <x:f>IF(OR(D98="",E98=""),"",IFERROR(D98/E98,""))</x:f>
      </x:c>
      <x:c r="L98" s="75" t="str">
        <x:f>IF(OR(F98="",C98=""),"",IFERROR(F98/C98*1000,""))</x:f>
      </x:c>
      <x:c r="M98" s="74" t="str">
        <x:f>IF(OR(H98="",G98=""),"",IFERROR(H98/G98,""))</x:f>
      </x:c>
      <x:c r="N98" s="74" t="str">
        <x:f>IF(OR(I98="",J98=""),"",IFERROR(I98/J98,""))</x:f>
      </x:c>
      <x:c r="O98" s="76" t="str">
        <x:f>IF(A98="","",TEXTJOIN("; ",TRUE,IF(C98&lt;=0,"Population missing/invalid",""),IF(E98&lt;=0,"TB estimated cases missing/invalid",""),IF(D98&gt;E98,"TB notified &gt; estimated incident cases",""),IF(F98&gt;C98,"Malaria cases &gt; population (review period/definition)",""),IF(G98&lt;=0,"PLHIV denominator missing/invalid",""),IF(H98&gt;G98,"ART count &gt; estimated PLHIV",""),IF(J98&lt;=0,"HIV population-at-risk missing/invalid",""),IF(I98&gt;J98,"New HIV infections &gt; population at risk","")))</x:f>
      </x:c>
    </x:row>
    <x:row r="99">
      <x:c r="A99" s="71"/>
      <x:c r="B99" s="72"/>
      <x:c r="C99" s="73"/>
      <x:c r="D99" s="73"/>
      <x:c r="E99" s="73"/>
      <x:c r="F99" s="73"/>
      <x:c r="G99" s="73"/>
      <x:c r="H99" s="73"/>
      <x:c r="I99" s="73"/>
      <x:c r="J99" s="73"/>
      <x:c r="K99" s="74" t="str">
        <x:f>IF(OR(D99="",E99=""),"",IFERROR(D99/E99,""))</x:f>
      </x:c>
      <x:c r="L99" s="75" t="str">
        <x:f>IF(OR(F99="",C99=""),"",IFERROR(F99/C99*1000,""))</x:f>
      </x:c>
      <x:c r="M99" s="74" t="str">
        <x:f>IF(OR(H99="",G99=""),"",IFERROR(H99/G99,""))</x:f>
      </x:c>
      <x:c r="N99" s="74" t="str">
        <x:f>IF(OR(I99="",J99=""),"",IFERROR(I99/J99,""))</x:f>
      </x:c>
      <x:c r="O99" s="76" t="str">
        <x:f>IF(A99="","",TEXTJOIN("; ",TRUE,IF(C99&lt;=0,"Population missing/invalid",""),IF(E99&lt;=0,"TB estimated cases missing/invalid",""),IF(D99&gt;E99,"TB notified &gt; estimated incident cases",""),IF(F99&gt;C99,"Malaria cases &gt; population (review period/definition)",""),IF(G99&lt;=0,"PLHIV denominator missing/invalid",""),IF(H99&gt;G99,"ART count &gt; estimated PLHIV",""),IF(J99&lt;=0,"HIV population-at-risk missing/invalid",""),IF(I99&gt;J99,"New HIV infections &gt; population at risk","")))</x:f>
      </x:c>
    </x:row>
    <x:row r="100">
      <x:c r="A100" s="71"/>
      <x:c r="B100" s="72"/>
      <x:c r="C100" s="73"/>
      <x:c r="D100" s="73"/>
      <x:c r="E100" s="73"/>
      <x:c r="F100" s="73"/>
      <x:c r="G100" s="73"/>
      <x:c r="H100" s="73"/>
      <x:c r="I100" s="73"/>
      <x:c r="J100" s="73"/>
      <x:c r="K100" s="74" t="str">
        <x:f>IF(OR(D100="",E100=""),"",IFERROR(D100/E100,""))</x:f>
      </x:c>
      <x:c r="L100" s="75" t="str">
        <x:f>IF(OR(F100="",C100=""),"",IFERROR(F100/C100*1000,""))</x:f>
      </x:c>
      <x:c r="M100" s="74" t="str">
        <x:f>IF(OR(H100="",G100=""),"",IFERROR(H100/G100,""))</x:f>
      </x:c>
      <x:c r="N100" s="74" t="str">
        <x:f>IF(OR(I100="",J100=""),"",IFERROR(I100/J100,""))</x:f>
      </x:c>
      <x:c r="O100" s="76" t="str">
        <x:f>IF(A100="","",TEXTJOIN("; ",TRUE,IF(C100&lt;=0,"Population missing/invalid",""),IF(E100&lt;=0,"TB estimated cases missing/invalid",""),IF(D100&gt;E100,"TB notified &gt; estimated incident cases",""),IF(F100&gt;C100,"Malaria cases &gt; population (review period/definition)",""),IF(G100&lt;=0,"PLHIV denominator missing/invalid",""),IF(H100&gt;G100,"ART count &gt; estimated PLHIV",""),IF(J100&lt;=0,"HIV population-at-risk missing/invalid",""),IF(I100&gt;J100,"New HIV infections &gt; population at risk","")))</x:f>
      </x:c>
    </x:row>
    <x:row r="101">
      <x:c r="A101" s="71"/>
      <x:c r="B101" s="72"/>
      <x:c r="C101" s="73"/>
      <x:c r="D101" s="73"/>
      <x:c r="E101" s="73"/>
      <x:c r="F101" s="73"/>
      <x:c r="G101" s="73"/>
      <x:c r="H101" s="73"/>
      <x:c r="I101" s="73"/>
      <x:c r="J101" s="73"/>
      <x:c r="K101" s="74" t="str">
        <x:f>IF(OR(D101="",E101=""),"",IFERROR(D101/E101,""))</x:f>
      </x:c>
      <x:c r="L101" s="75" t="str">
        <x:f>IF(OR(F101="",C101=""),"",IFERROR(F101/C101*1000,""))</x:f>
      </x:c>
      <x:c r="M101" s="74" t="str">
        <x:f>IF(OR(H101="",G101=""),"",IFERROR(H101/G101,""))</x:f>
      </x:c>
      <x:c r="N101" s="74" t="str">
        <x:f>IF(OR(I101="",J101=""),"",IFERROR(I101/J101,""))</x:f>
      </x:c>
      <x:c r="O101" s="76" t="str">
        <x:f>IF(A101="","",TEXTJOIN("; ",TRUE,IF(C101&lt;=0,"Population missing/invalid",""),IF(E101&lt;=0,"TB estimated cases missing/invalid",""),IF(D101&gt;E101,"TB notified &gt; estimated incident cases",""),IF(F101&gt;C101,"Malaria cases &gt; population (review period/definition)",""),IF(G101&lt;=0,"PLHIV denominator missing/invalid",""),IF(H101&gt;G101,"ART count &gt; estimated PLHIV",""),IF(J101&lt;=0,"HIV population-at-risk missing/invalid",""),IF(I101&gt;J101,"New HIV infections &gt; population at risk","")))</x:f>
      </x:c>
    </x:row>
    <x:row r="102">
      <x:c r="A102" s="71"/>
      <x:c r="B102" s="72"/>
      <x:c r="C102" s="73"/>
      <x:c r="D102" s="73"/>
      <x:c r="E102" s="73"/>
      <x:c r="F102" s="73"/>
      <x:c r="G102" s="73"/>
      <x:c r="H102" s="73"/>
      <x:c r="I102" s="73"/>
      <x:c r="J102" s="73"/>
      <x:c r="K102" s="74" t="str">
        <x:f>IF(OR(D102="",E102=""),"",IFERROR(D102/E102,""))</x:f>
      </x:c>
      <x:c r="L102" s="75" t="str">
        <x:f>IF(OR(F102="",C102=""),"",IFERROR(F102/C102*1000,""))</x:f>
      </x:c>
      <x:c r="M102" s="74" t="str">
        <x:f>IF(OR(H102="",G102=""),"",IFERROR(H102/G102,""))</x:f>
      </x:c>
      <x:c r="N102" s="74" t="str">
        <x:f>IF(OR(I102="",J102=""),"",IFERROR(I102/J102,""))</x:f>
      </x:c>
      <x:c r="O102" s="76" t="str">
        <x:f>IF(A102="","",TEXTJOIN("; ",TRUE,IF(C102&lt;=0,"Population missing/invalid",""),IF(E102&lt;=0,"TB estimated cases missing/invalid",""),IF(D102&gt;E102,"TB notified &gt; estimated incident cases",""),IF(F102&gt;C102,"Malaria cases &gt; population (review period/definition)",""),IF(G102&lt;=0,"PLHIV denominator missing/invalid",""),IF(H102&gt;G102,"ART count &gt; estimated PLHIV",""),IF(J102&lt;=0,"HIV population-at-risk missing/invalid",""),IF(I102&gt;J102,"New HIV infections &gt; population at risk","")))</x:f>
      </x:c>
    </x:row>
    <x:row r="103">
      <x:c r="A103" s="71"/>
      <x:c r="B103" s="72"/>
      <x:c r="C103" s="73"/>
      <x:c r="D103" s="73"/>
      <x:c r="E103" s="73"/>
      <x:c r="F103" s="73"/>
      <x:c r="G103" s="73"/>
      <x:c r="H103" s="73"/>
      <x:c r="I103" s="73"/>
      <x:c r="J103" s="73"/>
      <x:c r="K103" s="74" t="str">
        <x:f>IF(OR(D103="",E103=""),"",IFERROR(D103/E103,""))</x:f>
      </x:c>
      <x:c r="L103" s="75" t="str">
        <x:f>IF(OR(F103="",C103=""),"",IFERROR(F103/C103*1000,""))</x:f>
      </x:c>
      <x:c r="M103" s="74" t="str">
        <x:f>IF(OR(H103="",G103=""),"",IFERROR(H103/G103,""))</x:f>
      </x:c>
      <x:c r="N103" s="74" t="str">
        <x:f>IF(OR(I103="",J103=""),"",IFERROR(I103/J103,""))</x:f>
      </x:c>
      <x:c r="O103" s="76" t="str">
        <x:f>IF(A103="","",TEXTJOIN("; ",TRUE,IF(C103&lt;=0,"Population missing/invalid",""),IF(E103&lt;=0,"TB estimated cases missing/invalid",""),IF(D103&gt;E103,"TB notified &gt; estimated incident cases",""),IF(F103&gt;C103,"Malaria cases &gt; population (review period/definition)",""),IF(G103&lt;=0,"PLHIV denominator missing/invalid",""),IF(H103&gt;G103,"ART count &gt; estimated PLHIV",""),IF(J103&lt;=0,"HIV population-at-risk missing/invalid",""),IF(I103&gt;J103,"New HIV infections &gt; population at risk","")))</x:f>
      </x:c>
    </x:row>
    <x:row r="104">
      <x:c r="A104" s="71"/>
      <x:c r="B104" s="72"/>
      <x:c r="C104" s="73"/>
      <x:c r="D104" s="73"/>
      <x:c r="E104" s="73"/>
      <x:c r="F104" s="73"/>
      <x:c r="G104" s="73"/>
      <x:c r="H104" s="73"/>
      <x:c r="I104" s="73"/>
      <x:c r="J104" s="73"/>
      <x:c r="K104" s="74" t="str">
        <x:f>IF(OR(D104="",E104=""),"",IFERROR(D104/E104,""))</x:f>
      </x:c>
      <x:c r="L104" s="75" t="str">
        <x:f>IF(OR(F104="",C104=""),"",IFERROR(F104/C104*1000,""))</x:f>
      </x:c>
      <x:c r="M104" s="74" t="str">
        <x:f>IF(OR(H104="",G104=""),"",IFERROR(H104/G104,""))</x:f>
      </x:c>
      <x:c r="N104" s="74" t="str">
        <x:f>IF(OR(I104="",J104=""),"",IFERROR(I104/J104,""))</x:f>
      </x:c>
      <x:c r="O104" s="76" t="str">
        <x:f>IF(A104="","",TEXTJOIN("; ",TRUE,IF(C104&lt;=0,"Population missing/invalid",""),IF(E104&lt;=0,"TB estimated cases missing/invalid",""),IF(D104&gt;E104,"TB notified &gt; estimated incident cases",""),IF(F104&gt;C104,"Malaria cases &gt; population (review period/definition)",""),IF(G104&lt;=0,"PLHIV denominator missing/invalid",""),IF(H104&gt;G104,"ART count &gt; estimated PLHIV",""),IF(J104&lt;=0,"HIV population-at-risk missing/invalid",""),IF(I104&gt;J104,"New HIV infections &gt; population at risk","")))</x:f>
      </x:c>
    </x:row>
    <x:row r="105">
      <x:c r="A105" s="71"/>
      <x:c r="B105" s="72"/>
      <x:c r="C105" s="73"/>
      <x:c r="D105" s="73"/>
      <x:c r="E105" s="73"/>
      <x:c r="F105" s="73"/>
      <x:c r="G105" s="73"/>
      <x:c r="H105" s="73"/>
      <x:c r="I105" s="73"/>
      <x:c r="J105" s="73"/>
      <x:c r="K105" s="74" t="str">
        <x:f>IF(OR(D105="",E105=""),"",IFERROR(D105/E105,""))</x:f>
      </x:c>
      <x:c r="L105" s="75" t="str">
        <x:f>IF(OR(F105="",C105=""),"",IFERROR(F105/C105*1000,""))</x:f>
      </x:c>
      <x:c r="M105" s="74" t="str">
        <x:f>IF(OR(H105="",G105=""),"",IFERROR(H105/G105,""))</x:f>
      </x:c>
      <x:c r="N105" s="74" t="str">
        <x:f>IF(OR(I105="",J105=""),"",IFERROR(I105/J105,""))</x:f>
      </x:c>
      <x:c r="O105" s="76" t="str">
        <x:f>IF(A105="","",TEXTJOIN("; ",TRUE,IF(C105&lt;=0,"Population missing/invalid",""),IF(E105&lt;=0,"TB estimated cases missing/invalid",""),IF(D105&gt;E105,"TB notified &gt; estimated incident cases",""),IF(F105&gt;C105,"Malaria cases &gt; population (review period/definition)",""),IF(G105&lt;=0,"PLHIV denominator missing/invalid",""),IF(H105&gt;G105,"ART count &gt; estimated PLHIV",""),IF(J105&lt;=0,"HIV population-at-risk missing/invalid",""),IF(I105&gt;J105,"New HIV infections &gt; population at risk","")))</x:f>
      </x:c>
    </x:row>
    <x:row r="106">
      <x:c r="A106" s="71"/>
      <x:c r="B106" s="72"/>
      <x:c r="C106" s="73"/>
      <x:c r="D106" s="73"/>
      <x:c r="E106" s="73"/>
      <x:c r="F106" s="73"/>
      <x:c r="G106" s="73"/>
      <x:c r="H106" s="73"/>
      <x:c r="I106" s="73"/>
      <x:c r="J106" s="73"/>
      <x:c r="K106" s="74" t="str">
        <x:f>IF(OR(D106="",E106=""),"",IFERROR(D106/E106,""))</x:f>
      </x:c>
      <x:c r="L106" s="75" t="str">
        <x:f>IF(OR(F106="",C106=""),"",IFERROR(F106/C106*1000,""))</x:f>
      </x:c>
      <x:c r="M106" s="74" t="str">
        <x:f>IF(OR(H106="",G106=""),"",IFERROR(H106/G106,""))</x:f>
      </x:c>
      <x:c r="N106" s="74" t="str">
        <x:f>IF(OR(I106="",J106=""),"",IFERROR(I106/J106,""))</x:f>
      </x:c>
      <x:c r="O106" s="76" t="str">
        <x:f>IF(A106="","",TEXTJOIN("; ",TRUE,IF(C106&lt;=0,"Population missing/invalid",""),IF(E106&lt;=0,"TB estimated cases missing/invalid",""),IF(D106&gt;E106,"TB notified &gt; estimated incident cases",""),IF(F106&gt;C106,"Malaria cases &gt; population (review period/definition)",""),IF(G106&lt;=0,"PLHIV denominator missing/invalid",""),IF(H106&gt;G106,"ART count &gt; estimated PLHIV",""),IF(J106&lt;=0,"HIV population-at-risk missing/invalid",""),IF(I106&gt;J106,"New HIV infections &gt; population at risk","")))</x:f>
      </x:c>
    </x:row>
    <x:row r="107">
      <x:c r="A107" s="71"/>
      <x:c r="B107" s="72"/>
      <x:c r="C107" s="73"/>
      <x:c r="D107" s="73"/>
      <x:c r="E107" s="73"/>
      <x:c r="F107" s="73"/>
      <x:c r="G107" s="73"/>
      <x:c r="H107" s="73"/>
      <x:c r="I107" s="73"/>
      <x:c r="J107" s="73"/>
      <x:c r="K107" s="74" t="str">
        <x:f>IF(OR(D107="",E107=""),"",IFERROR(D107/E107,""))</x:f>
      </x:c>
      <x:c r="L107" s="75" t="str">
        <x:f>IF(OR(F107="",C107=""),"",IFERROR(F107/C107*1000,""))</x:f>
      </x:c>
      <x:c r="M107" s="74" t="str">
        <x:f>IF(OR(H107="",G107=""),"",IFERROR(H107/G107,""))</x:f>
      </x:c>
      <x:c r="N107" s="74" t="str">
        <x:f>IF(OR(I107="",J107=""),"",IFERROR(I107/J107,""))</x:f>
      </x:c>
      <x:c r="O107" s="76" t="str">
        <x:f>IF(A107="","",TEXTJOIN("; ",TRUE,IF(C107&lt;=0,"Population missing/invalid",""),IF(E107&lt;=0,"TB estimated cases missing/invalid",""),IF(D107&gt;E107,"TB notified &gt; estimated incident cases",""),IF(F107&gt;C107,"Malaria cases &gt; population (review period/definition)",""),IF(G107&lt;=0,"PLHIV denominator missing/invalid",""),IF(H107&gt;G107,"ART count &gt; estimated PLHIV",""),IF(J107&lt;=0,"HIV population-at-risk missing/invalid",""),IF(I107&gt;J107,"New HIV infections &gt; population at risk","")))</x:f>
      </x:c>
    </x:row>
    <x:row r="108">
      <x:c r="A108" s="71"/>
      <x:c r="B108" s="72"/>
      <x:c r="C108" s="73"/>
      <x:c r="D108" s="73"/>
      <x:c r="E108" s="73"/>
      <x:c r="F108" s="73"/>
      <x:c r="G108" s="73"/>
      <x:c r="H108" s="73"/>
      <x:c r="I108" s="73"/>
      <x:c r="J108" s="73"/>
      <x:c r="K108" s="74" t="str">
        <x:f>IF(OR(D108="",E108=""),"",IFERROR(D108/E108,""))</x:f>
      </x:c>
      <x:c r="L108" s="75" t="str">
        <x:f>IF(OR(F108="",C108=""),"",IFERROR(F108/C108*1000,""))</x:f>
      </x:c>
      <x:c r="M108" s="74" t="str">
        <x:f>IF(OR(H108="",G108=""),"",IFERROR(H108/G108,""))</x:f>
      </x:c>
      <x:c r="N108" s="74" t="str">
        <x:f>IF(OR(I108="",J108=""),"",IFERROR(I108/J108,""))</x:f>
      </x:c>
      <x:c r="O108" s="76" t="str">
        <x:f>IF(A108="","",TEXTJOIN("; ",TRUE,IF(C108&lt;=0,"Population missing/invalid",""),IF(E108&lt;=0,"TB estimated cases missing/invalid",""),IF(D108&gt;E108,"TB notified &gt; estimated incident cases",""),IF(F108&gt;C108,"Malaria cases &gt; population (review period/definition)",""),IF(G108&lt;=0,"PLHIV denominator missing/invalid",""),IF(H108&gt;G108,"ART count &gt; estimated PLHIV",""),IF(J108&lt;=0,"HIV population-at-risk missing/invalid",""),IF(I108&gt;J108,"New HIV infections &gt; population at risk","")))</x:f>
      </x:c>
    </x:row>
    <x:row r="109">
      <x:c r="A109" s="71"/>
      <x:c r="B109" s="72"/>
      <x:c r="C109" s="73"/>
      <x:c r="D109" s="73"/>
      <x:c r="E109" s="73"/>
      <x:c r="F109" s="73"/>
      <x:c r="G109" s="73"/>
      <x:c r="H109" s="73"/>
      <x:c r="I109" s="73"/>
      <x:c r="J109" s="73"/>
      <x:c r="K109" s="74" t="str">
        <x:f>IF(OR(D109="",E109=""),"",IFERROR(D109/E109,""))</x:f>
      </x:c>
      <x:c r="L109" s="75" t="str">
        <x:f>IF(OR(F109="",C109=""),"",IFERROR(F109/C109*1000,""))</x:f>
      </x:c>
      <x:c r="M109" s="74" t="str">
        <x:f>IF(OR(H109="",G109=""),"",IFERROR(H109/G109,""))</x:f>
      </x:c>
      <x:c r="N109" s="74" t="str">
        <x:f>IF(OR(I109="",J109=""),"",IFERROR(I109/J109,""))</x:f>
      </x:c>
      <x:c r="O109" s="76" t="str">
        <x:f>IF(A109="","",TEXTJOIN("; ",TRUE,IF(C109&lt;=0,"Population missing/invalid",""),IF(E109&lt;=0,"TB estimated cases missing/invalid",""),IF(D109&gt;E109,"TB notified &gt; estimated incident cases",""),IF(F109&gt;C109,"Malaria cases &gt; population (review period/definition)",""),IF(G109&lt;=0,"PLHIV denominator missing/invalid",""),IF(H109&gt;G109,"ART count &gt; estimated PLHIV",""),IF(J109&lt;=0,"HIV population-at-risk missing/invalid",""),IF(I109&gt;J109,"New HIV infections &gt; population at risk","")))</x:f>
      </x:c>
    </x:row>
    <x:row r="110">
      <x:c r="A110" s="71"/>
      <x:c r="B110" s="72"/>
      <x:c r="C110" s="73"/>
      <x:c r="D110" s="73"/>
      <x:c r="E110" s="73"/>
      <x:c r="F110" s="73"/>
      <x:c r="G110" s="73"/>
      <x:c r="H110" s="73"/>
      <x:c r="I110" s="73"/>
      <x:c r="J110" s="73"/>
      <x:c r="K110" s="74" t="str">
        <x:f>IF(OR(D110="",E110=""),"",IFERROR(D110/E110,""))</x:f>
      </x:c>
      <x:c r="L110" s="75" t="str">
        <x:f>IF(OR(F110="",C110=""),"",IFERROR(F110/C110*1000,""))</x:f>
      </x:c>
      <x:c r="M110" s="74" t="str">
        <x:f>IF(OR(H110="",G110=""),"",IFERROR(H110/G110,""))</x:f>
      </x:c>
      <x:c r="N110" s="74" t="str">
        <x:f>IF(OR(I110="",J110=""),"",IFERROR(I110/J110,""))</x:f>
      </x:c>
      <x:c r="O110" s="76" t="str">
        <x:f>IF(A110="","",TEXTJOIN("; ",TRUE,IF(C110&lt;=0,"Population missing/invalid",""),IF(E110&lt;=0,"TB estimated cases missing/invalid",""),IF(D110&gt;E110,"TB notified &gt; estimated incident cases",""),IF(F110&gt;C110,"Malaria cases &gt; population (review period/definition)",""),IF(G110&lt;=0,"PLHIV denominator missing/invalid",""),IF(H110&gt;G110,"ART count &gt; estimated PLHIV",""),IF(J110&lt;=0,"HIV population-at-risk missing/invalid",""),IF(I110&gt;J110,"New HIV infections &gt; population at risk","")))</x:f>
      </x:c>
    </x:row>
    <x:row r="111">
      <x:c r="A111" s="71"/>
      <x:c r="B111" s="72"/>
      <x:c r="C111" s="73"/>
      <x:c r="D111" s="73"/>
      <x:c r="E111" s="73"/>
      <x:c r="F111" s="73"/>
      <x:c r="G111" s="73"/>
      <x:c r="H111" s="73"/>
      <x:c r="I111" s="73"/>
      <x:c r="J111" s="73"/>
      <x:c r="K111" s="74" t="str">
        <x:f>IF(OR(D111="",E111=""),"",IFERROR(D111/E111,""))</x:f>
      </x:c>
      <x:c r="L111" s="75" t="str">
        <x:f>IF(OR(F111="",C111=""),"",IFERROR(F111/C111*1000,""))</x:f>
      </x:c>
      <x:c r="M111" s="74" t="str">
        <x:f>IF(OR(H111="",G111=""),"",IFERROR(H111/G111,""))</x:f>
      </x:c>
      <x:c r="N111" s="74" t="str">
        <x:f>IF(OR(I111="",J111=""),"",IFERROR(I111/J111,""))</x:f>
      </x:c>
      <x:c r="O111" s="76" t="str">
        <x:f>IF(A111="","",TEXTJOIN("; ",TRUE,IF(C111&lt;=0,"Population missing/invalid",""),IF(E111&lt;=0,"TB estimated cases missing/invalid",""),IF(D111&gt;E111,"TB notified &gt; estimated incident cases",""),IF(F111&gt;C111,"Malaria cases &gt; population (review period/definition)",""),IF(G111&lt;=0,"PLHIV denominator missing/invalid",""),IF(H111&gt;G111,"ART count &gt; estimated PLHIV",""),IF(J111&lt;=0,"HIV population-at-risk missing/invalid",""),IF(I111&gt;J111,"New HIV infections &gt; population at risk","")))</x:f>
      </x:c>
    </x:row>
    <x:row r="112">
      <x:c r="A112" s="71"/>
      <x:c r="B112" s="72"/>
      <x:c r="C112" s="73"/>
      <x:c r="D112" s="73"/>
      <x:c r="E112" s="73"/>
      <x:c r="F112" s="73"/>
      <x:c r="G112" s="73"/>
      <x:c r="H112" s="73"/>
      <x:c r="I112" s="73"/>
      <x:c r="J112" s="73"/>
      <x:c r="K112" s="74" t="str">
        <x:f>IF(OR(D112="",E112=""),"",IFERROR(D112/E112,""))</x:f>
      </x:c>
      <x:c r="L112" s="75" t="str">
        <x:f>IF(OR(F112="",C112=""),"",IFERROR(F112/C112*1000,""))</x:f>
      </x:c>
      <x:c r="M112" s="74" t="str">
        <x:f>IF(OR(H112="",G112=""),"",IFERROR(H112/G112,""))</x:f>
      </x:c>
      <x:c r="N112" s="74" t="str">
        <x:f>IF(OR(I112="",J112=""),"",IFERROR(I112/J112,""))</x:f>
      </x:c>
      <x:c r="O112" s="76" t="str">
        <x:f>IF(A112="","",TEXTJOIN("; ",TRUE,IF(C112&lt;=0,"Population missing/invalid",""),IF(E112&lt;=0,"TB estimated cases missing/invalid",""),IF(D112&gt;E112,"TB notified &gt; estimated incident cases",""),IF(F112&gt;C112,"Malaria cases &gt; population (review period/definition)",""),IF(G112&lt;=0,"PLHIV denominator missing/invalid",""),IF(H112&gt;G112,"ART count &gt; estimated PLHIV",""),IF(J112&lt;=0,"HIV population-at-risk missing/invalid",""),IF(I112&gt;J112,"New HIV infections &gt; population at risk","")))</x:f>
      </x:c>
    </x:row>
    <x:row r="113">
      <x:c r="A113" s="71"/>
      <x:c r="B113" s="72"/>
      <x:c r="C113" s="73"/>
      <x:c r="D113" s="73"/>
      <x:c r="E113" s="73"/>
      <x:c r="F113" s="73"/>
      <x:c r="G113" s="73"/>
      <x:c r="H113" s="73"/>
      <x:c r="I113" s="73"/>
      <x:c r="J113" s="73"/>
      <x:c r="K113" s="74" t="str">
        <x:f>IF(OR(D113="",E113=""),"",IFERROR(D113/E113,""))</x:f>
      </x:c>
      <x:c r="L113" s="75" t="str">
        <x:f>IF(OR(F113="",C113=""),"",IFERROR(F113/C113*1000,""))</x:f>
      </x:c>
      <x:c r="M113" s="74" t="str">
        <x:f>IF(OR(H113="",G113=""),"",IFERROR(H113/G113,""))</x:f>
      </x:c>
      <x:c r="N113" s="74" t="str">
        <x:f>IF(OR(I113="",J113=""),"",IFERROR(I113/J113,""))</x:f>
      </x:c>
      <x:c r="O113" s="76" t="str">
        <x:f>IF(A113="","",TEXTJOIN("; ",TRUE,IF(C113&lt;=0,"Population missing/invalid",""),IF(E113&lt;=0,"TB estimated cases missing/invalid",""),IF(D113&gt;E113,"TB notified &gt; estimated incident cases",""),IF(F113&gt;C113,"Malaria cases &gt; population (review period/definition)",""),IF(G113&lt;=0,"PLHIV denominator missing/invalid",""),IF(H113&gt;G113,"ART count &gt; estimated PLHIV",""),IF(J113&lt;=0,"HIV population-at-risk missing/invalid",""),IF(I113&gt;J113,"New HIV infections &gt; population at risk","")))</x:f>
      </x:c>
    </x:row>
    <x:row r="114">
      <x:c r="A114" s="71"/>
      <x:c r="B114" s="72"/>
      <x:c r="C114" s="73"/>
      <x:c r="D114" s="73"/>
      <x:c r="E114" s="73"/>
      <x:c r="F114" s="73"/>
      <x:c r="G114" s="73"/>
      <x:c r="H114" s="73"/>
      <x:c r="I114" s="73"/>
      <x:c r="J114" s="73"/>
      <x:c r="K114" s="74" t="str">
        <x:f>IF(OR(D114="",E114=""),"",IFERROR(D114/E114,""))</x:f>
      </x:c>
      <x:c r="L114" s="75" t="str">
        <x:f>IF(OR(F114="",C114=""),"",IFERROR(F114/C114*1000,""))</x:f>
      </x:c>
      <x:c r="M114" s="74" t="str">
        <x:f>IF(OR(H114="",G114=""),"",IFERROR(H114/G114,""))</x:f>
      </x:c>
      <x:c r="N114" s="74" t="str">
        <x:f>IF(OR(I114="",J114=""),"",IFERROR(I114/J114,""))</x:f>
      </x:c>
      <x:c r="O114" s="76" t="str">
        <x:f>IF(A114="","",TEXTJOIN("; ",TRUE,IF(C114&lt;=0,"Population missing/invalid",""),IF(E114&lt;=0,"TB estimated cases missing/invalid",""),IF(D114&gt;E114,"TB notified &gt; estimated incident cases",""),IF(F114&gt;C114,"Malaria cases &gt; population (review period/definition)",""),IF(G114&lt;=0,"PLHIV denominator missing/invalid",""),IF(H114&gt;G114,"ART count &gt; estimated PLHIV",""),IF(J114&lt;=0,"HIV population-at-risk missing/invalid",""),IF(I114&gt;J114,"New HIV infections &gt; population at risk","")))</x:f>
      </x:c>
    </x:row>
    <x:row r="115">
      <x:c r="A115" s="71"/>
      <x:c r="B115" s="72"/>
      <x:c r="C115" s="73"/>
      <x:c r="D115" s="73"/>
      <x:c r="E115" s="73"/>
      <x:c r="F115" s="73"/>
      <x:c r="G115" s="73"/>
      <x:c r="H115" s="73"/>
      <x:c r="I115" s="73"/>
      <x:c r="J115" s="73"/>
      <x:c r="K115" s="74" t="str">
        <x:f>IF(OR(D115="",E115=""),"",IFERROR(D115/E115,""))</x:f>
      </x:c>
      <x:c r="L115" s="75" t="str">
        <x:f>IF(OR(F115="",C115=""),"",IFERROR(F115/C115*1000,""))</x:f>
      </x:c>
      <x:c r="M115" s="74" t="str">
        <x:f>IF(OR(H115="",G115=""),"",IFERROR(H115/G115,""))</x:f>
      </x:c>
      <x:c r="N115" s="74" t="str">
        <x:f>IF(OR(I115="",J115=""),"",IFERROR(I115/J115,""))</x:f>
      </x:c>
      <x:c r="O115" s="76" t="str">
        <x:f>IF(A115="","",TEXTJOIN("; ",TRUE,IF(C115&lt;=0,"Population missing/invalid",""),IF(E115&lt;=0,"TB estimated cases missing/invalid",""),IF(D115&gt;E115,"TB notified &gt; estimated incident cases",""),IF(F115&gt;C115,"Malaria cases &gt; population (review period/definition)",""),IF(G115&lt;=0,"PLHIV denominator missing/invalid",""),IF(H115&gt;G115,"ART count &gt; estimated PLHIV",""),IF(J115&lt;=0,"HIV population-at-risk missing/invalid",""),IF(I115&gt;J115,"New HIV infections &gt; population at risk","")))</x:f>
      </x:c>
    </x:row>
    <x:row r="116">
      <x:c r="A116" s="71"/>
      <x:c r="B116" s="72"/>
      <x:c r="C116" s="73"/>
      <x:c r="D116" s="73"/>
      <x:c r="E116" s="73"/>
      <x:c r="F116" s="73"/>
      <x:c r="G116" s="73"/>
      <x:c r="H116" s="73"/>
      <x:c r="I116" s="73"/>
      <x:c r="J116" s="73"/>
      <x:c r="K116" s="74" t="str">
        <x:f>IF(OR(D116="",E116=""),"",IFERROR(D116/E116,""))</x:f>
      </x:c>
      <x:c r="L116" s="75" t="str">
        <x:f>IF(OR(F116="",C116=""),"",IFERROR(F116/C116*1000,""))</x:f>
      </x:c>
      <x:c r="M116" s="74" t="str">
        <x:f>IF(OR(H116="",G116=""),"",IFERROR(H116/G116,""))</x:f>
      </x:c>
      <x:c r="N116" s="74" t="str">
        <x:f>IF(OR(I116="",J116=""),"",IFERROR(I116/J116,""))</x:f>
      </x:c>
      <x:c r="O116" s="76" t="str">
        <x:f>IF(A116="","",TEXTJOIN("; ",TRUE,IF(C116&lt;=0,"Population missing/invalid",""),IF(E116&lt;=0,"TB estimated cases missing/invalid",""),IF(D116&gt;E116,"TB notified &gt; estimated incident cases",""),IF(F116&gt;C116,"Malaria cases &gt; population (review period/definition)",""),IF(G116&lt;=0,"PLHIV denominator missing/invalid",""),IF(H116&gt;G116,"ART count &gt; estimated PLHIV",""),IF(J116&lt;=0,"HIV population-at-risk missing/invalid",""),IF(I116&gt;J116,"New HIV infections &gt; population at risk","")))</x:f>
      </x:c>
    </x:row>
    <x:row r="117">
      <x:c r="A117" s="71"/>
      <x:c r="B117" s="72"/>
      <x:c r="C117" s="73"/>
      <x:c r="D117" s="73"/>
      <x:c r="E117" s="73"/>
      <x:c r="F117" s="73"/>
      <x:c r="G117" s="73"/>
      <x:c r="H117" s="73"/>
      <x:c r="I117" s="73"/>
      <x:c r="J117" s="73"/>
      <x:c r="K117" s="74" t="str">
        <x:f>IF(OR(D117="",E117=""),"",IFERROR(D117/E117,""))</x:f>
      </x:c>
      <x:c r="L117" s="75" t="str">
        <x:f>IF(OR(F117="",C117=""),"",IFERROR(F117/C117*1000,""))</x:f>
      </x:c>
      <x:c r="M117" s="74" t="str">
        <x:f>IF(OR(H117="",G117=""),"",IFERROR(H117/G117,""))</x:f>
      </x:c>
      <x:c r="N117" s="74" t="str">
        <x:f>IF(OR(I117="",J117=""),"",IFERROR(I117/J117,""))</x:f>
      </x:c>
      <x:c r="O117" s="76" t="str">
        <x:f>IF(A117="","",TEXTJOIN("; ",TRUE,IF(C117&lt;=0,"Population missing/invalid",""),IF(E117&lt;=0,"TB estimated cases missing/invalid",""),IF(D117&gt;E117,"TB notified &gt; estimated incident cases",""),IF(F117&gt;C117,"Malaria cases &gt; population (review period/definition)",""),IF(G117&lt;=0,"PLHIV denominator missing/invalid",""),IF(H117&gt;G117,"ART count &gt; estimated PLHIV",""),IF(J117&lt;=0,"HIV population-at-risk missing/invalid",""),IF(I117&gt;J117,"New HIV infections &gt; population at risk","")))</x:f>
      </x:c>
    </x:row>
    <x:row r="118">
      <x:c r="A118" s="71"/>
      <x:c r="B118" s="72"/>
      <x:c r="C118" s="73"/>
      <x:c r="D118" s="73"/>
      <x:c r="E118" s="73"/>
      <x:c r="F118" s="73"/>
      <x:c r="G118" s="73"/>
      <x:c r="H118" s="73"/>
      <x:c r="I118" s="73"/>
      <x:c r="J118" s="73"/>
      <x:c r="K118" s="74" t="str">
        <x:f>IF(OR(D118="",E118=""),"",IFERROR(D118/E118,""))</x:f>
      </x:c>
      <x:c r="L118" s="75" t="str">
        <x:f>IF(OR(F118="",C118=""),"",IFERROR(F118/C118*1000,""))</x:f>
      </x:c>
      <x:c r="M118" s="74" t="str">
        <x:f>IF(OR(H118="",G118=""),"",IFERROR(H118/G118,""))</x:f>
      </x:c>
      <x:c r="N118" s="74" t="str">
        <x:f>IF(OR(I118="",J118=""),"",IFERROR(I118/J118,""))</x:f>
      </x:c>
      <x:c r="O118" s="76" t="str">
        <x:f>IF(A118="","",TEXTJOIN("; ",TRUE,IF(C118&lt;=0,"Population missing/invalid",""),IF(E118&lt;=0,"TB estimated cases missing/invalid",""),IF(D118&gt;E118,"TB notified &gt; estimated incident cases",""),IF(F118&gt;C118,"Malaria cases &gt; population (review period/definition)",""),IF(G118&lt;=0,"PLHIV denominator missing/invalid",""),IF(H118&gt;G118,"ART count &gt; estimated PLHIV",""),IF(J118&lt;=0,"HIV population-at-risk missing/invalid",""),IF(I118&gt;J118,"New HIV infections &gt; population at risk","")))</x:f>
      </x:c>
    </x:row>
    <x:row r="119">
      <x:c r="A119" s="71"/>
      <x:c r="B119" s="72"/>
      <x:c r="C119" s="73"/>
      <x:c r="D119" s="73"/>
      <x:c r="E119" s="73"/>
      <x:c r="F119" s="73"/>
      <x:c r="G119" s="73"/>
      <x:c r="H119" s="73"/>
      <x:c r="I119" s="73"/>
      <x:c r="J119" s="73"/>
      <x:c r="K119" s="74" t="str">
        <x:f>IF(OR(D119="",E119=""),"",IFERROR(D119/E119,""))</x:f>
      </x:c>
      <x:c r="L119" s="75" t="str">
        <x:f>IF(OR(F119="",C119=""),"",IFERROR(F119/C119*1000,""))</x:f>
      </x:c>
      <x:c r="M119" s="74" t="str">
        <x:f>IF(OR(H119="",G119=""),"",IFERROR(H119/G119,""))</x:f>
      </x:c>
      <x:c r="N119" s="74" t="str">
        <x:f>IF(OR(I119="",J119=""),"",IFERROR(I119/J119,""))</x:f>
      </x:c>
      <x:c r="O119" s="76" t="str">
        <x:f>IF(A119="","",TEXTJOIN("; ",TRUE,IF(C119&lt;=0,"Population missing/invalid",""),IF(E119&lt;=0,"TB estimated cases missing/invalid",""),IF(D119&gt;E119,"TB notified &gt; estimated incident cases",""),IF(F119&gt;C119,"Malaria cases &gt; population (review period/definition)",""),IF(G119&lt;=0,"PLHIV denominator missing/invalid",""),IF(H119&gt;G119,"ART count &gt; estimated PLHIV",""),IF(J119&lt;=0,"HIV population-at-risk missing/invalid",""),IF(I119&gt;J119,"New HIV infections &gt; population at risk","")))</x:f>
      </x:c>
    </x:row>
    <x:row r="120">
      <x:c r="A120" s="71"/>
      <x:c r="B120" s="72"/>
      <x:c r="C120" s="73"/>
      <x:c r="D120" s="73"/>
      <x:c r="E120" s="73"/>
      <x:c r="F120" s="73"/>
      <x:c r="G120" s="73"/>
      <x:c r="H120" s="73"/>
      <x:c r="I120" s="73"/>
      <x:c r="J120" s="73"/>
      <x:c r="K120" s="74" t="str">
        <x:f>IF(OR(D120="",E120=""),"",IFERROR(D120/E120,""))</x:f>
      </x:c>
      <x:c r="L120" s="75" t="str">
        <x:f>IF(OR(F120="",C120=""),"",IFERROR(F120/C120*1000,""))</x:f>
      </x:c>
      <x:c r="M120" s="74" t="str">
        <x:f>IF(OR(H120="",G120=""),"",IFERROR(H120/G120,""))</x:f>
      </x:c>
      <x:c r="N120" s="74" t="str">
        <x:f>IF(OR(I120="",J120=""),"",IFERROR(I120/J120,""))</x:f>
      </x:c>
      <x:c r="O120" s="76" t="str">
        <x:f>IF(A120="","",TEXTJOIN("; ",TRUE,IF(C120&lt;=0,"Population missing/invalid",""),IF(E120&lt;=0,"TB estimated cases missing/invalid",""),IF(D120&gt;E120,"TB notified &gt; estimated incident cases",""),IF(F120&gt;C120,"Malaria cases &gt; population (review period/definition)",""),IF(G120&lt;=0,"PLHIV denominator missing/invalid",""),IF(H120&gt;G120,"ART count &gt; estimated PLHIV",""),IF(J120&lt;=0,"HIV population-at-risk missing/invalid",""),IF(I120&gt;J120,"New HIV infections &gt; population at risk","")))</x:f>
      </x:c>
    </x:row>
    <x:row r="121">
      <x:c r="A121" s="71"/>
      <x:c r="B121" s="72"/>
      <x:c r="C121" s="73"/>
      <x:c r="D121" s="73"/>
      <x:c r="E121" s="73"/>
      <x:c r="F121" s="73"/>
      <x:c r="G121" s="73"/>
      <x:c r="H121" s="73"/>
      <x:c r="I121" s="73"/>
      <x:c r="J121" s="73"/>
      <x:c r="K121" s="74" t="str">
        <x:f>IF(OR(D121="",E121=""),"",IFERROR(D121/E121,""))</x:f>
      </x:c>
      <x:c r="L121" s="75" t="str">
        <x:f>IF(OR(F121="",C121=""),"",IFERROR(F121/C121*1000,""))</x:f>
      </x:c>
      <x:c r="M121" s="74" t="str">
        <x:f>IF(OR(H121="",G121=""),"",IFERROR(H121/G121,""))</x:f>
      </x:c>
      <x:c r="N121" s="74" t="str">
        <x:f>IF(OR(I121="",J121=""),"",IFERROR(I121/J121,""))</x:f>
      </x:c>
      <x:c r="O121" s="76" t="str">
        <x:f>IF(A121="","",TEXTJOIN("; ",TRUE,IF(C121&lt;=0,"Population missing/invalid",""),IF(E121&lt;=0,"TB estimated cases missing/invalid",""),IF(D121&gt;E121,"TB notified &gt; estimated incident cases",""),IF(F121&gt;C121,"Malaria cases &gt; population (review period/definition)",""),IF(G121&lt;=0,"PLHIV denominator missing/invalid",""),IF(H121&gt;G121,"ART count &gt; estimated PLHIV",""),IF(J121&lt;=0,"HIV population-at-risk missing/invalid",""),IF(I121&gt;J121,"New HIV infections &gt; population at risk","")))</x:f>
      </x:c>
    </x:row>
    <x:row r="122">
      <x:c r="A122" s="71"/>
      <x:c r="B122" s="72"/>
      <x:c r="C122" s="73"/>
      <x:c r="D122" s="73"/>
      <x:c r="E122" s="73"/>
      <x:c r="F122" s="73"/>
      <x:c r="G122" s="73"/>
      <x:c r="H122" s="73"/>
      <x:c r="I122" s="73"/>
      <x:c r="J122" s="73"/>
      <x:c r="K122" s="74" t="str">
        <x:f>IF(OR(D122="",E122=""),"",IFERROR(D122/E122,""))</x:f>
      </x:c>
      <x:c r="L122" s="75" t="str">
        <x:f>IF(OR(F122="",C122=""),"",IFERROR(F122/C122*1000,""))</x:f>
      </x:c>
      <x:c r="M122" s="74" t="str">
        <x:f>IF(OR(H122="",G122=""),"",IFERROR(H122/G122,""))</x:f>
      </x:c>
      <x:c r="N122" s="74" t="str">
        <x:f>IF(OR(I122="",J122=""),"",IFERROR(I122/J122,""))</x:f>
      </x:c>
      <x:c r="O122" s="76" t="str">
        <x:f>IF(A122="","",TEXTJOIN("; ",TRUE,IF(C122&lt;=0,"Population missing/invalid",""),IF(E122&lt;=0,"TB estimated cases missing/invalid",""),IF(D122&gt;E122,"TB notified &gt; estimated incident cases",""),IF(F122&gt;C122,"Malaria cases &gt; population (review period/definition)",""),IF(G122&lt;=0,"PLHIV denominator missing/invalid",""),IF(H122&gt;G122,"ART count &gt; estimated PLHIV",""),IF(J122&lt;=0,"HIV population-at-risk missing/invalid",""),IF(I122&gt;J122,"New HIV infections &gt; population at risk","")))</x:f>
      </x:c>
    </x:row>
    <x:row r="123">
      <x:c r="A123" s="71"/>
      <x:c r="B123" s="72"/>
      <x:c r="C123" s="73"/>
      <x:c r="D123" s="73"/>
      <x:c r="E123" s="73"/>
      <x:c r="F123" s="73"/>
      <x:c r="G123" s="73"/>
      <x:c r="H123" s="73"/>
      <x:c r="I123" s="73"/>
      <x:c r="J123" s="73"/>
      <x:c r="K123" s="74" t="str">
        <x:f>IF(OR(D123="",E123=""),"",IFERROR(D123/E123,""))</x:f>
      </x:c>
      <x:c r="L123" s="75" t="str">
        <x:f>IF(OR(F123="",C123=""),"",IFERROR(F123/C123*1000,""))</x:f>
      </x:c>
      <x:c r="M123" s="74" t="str">
        <x:f>IF(OR(H123="",G123=""),"",IFERROR(H123/G123,""))</x:f>
      </x:c>
      <x:c r="N123" s="74" t="str">
        <x:f>IF(OR(I123="",J123=""),"",IFERROR(I123/J123,""))</x:f>
      </x:c>
      <x:c r="O123" s="76" t="str">
        <x:f>IF(A123="","",TEXTJOIN("; ",TRUE,IF(C123&lt;=0,"Population missing/invalid",""),IF(E123&lt;=0,"TB estimated cases missing/invalid",""),IF(D123&gt;E123,"TB notified &gt; estimated incident cases",""),IF(F123&gt;C123,"Malaria cases &gt; population (review period/definition)",""),IF(G123&lt;=0,"PLHIV denominator missing/invalid",""),IF(H123&gt;G123,"ART count &gt; estimated PLHIV",""),IF(J123&lt;=0,"HIV population-at-risk missing/invalid",""),IF(I123&gt;J123,"New HIV infections &gt; population at risk","")))</x:f>
      </x:c>
    </x:row>
    <x:row r="124">
      <x:c r="A124" s="71"/>
      <x:c r="B124" s="72"/>
      <x:c r="C124" s="73"/>
      <x:c r="D124" s="73"/>
      <x:c r="E124" s="73"/>
      <x:c r="F124" s="73"/>
      <x:c r="G124" s="73"/>
      <x:c r="H124" s="73"/>
      <x:c r="I124" s="73"/>
      <x:c r="J124" s="73"/>
      <x:c r="K124" s="74" t="str">
        <x:f>IF(OR(D124="",E124=""),"",IFERROR(D124/E124,""))</x:f>
      </x:c>
      <x:c r="L124" s="75" t="str">
        <x:f>IF(OR(F124="",C124=""),"",IFERROR(F124/C124*1000,""))</x:f>
      </x:c>
      <x:c r="M124" s="74" t="str">
        <x:f>IF(OR(H124="",G124=""),"",IFERROR(H124/G124,""))</x:f>
      </x:c>
      <x:c r="N124" s="74" t="str">
        <x:f>IF(OR(I124="",J124=""),"",IFERROR(I124/J124,""))</x:f>
      </x:c>
      <x:c r="O124" s="76" t="str">
        <x:f>IF(A124="","",TEXTJOIN("; ",TRUE,IF(C124&lt;=0,"Population missing/invalid",""),IF(E124&lt;=0,"TB estimated cases missing/invalid",""),IF(D124&gt;E124,"TB notified &gt; estimated incident cases",""),IF(F124&gt;C124,"Malaria cases &gt; population (review period/definition)",""),IF(G124&lt;=0,"PLHIV denominator missing/invalid",""),IF(H124&gt;G124,"ART count &gt; estimated PLHIV",""),IF(J124&lt;=0,"HIV population-at-risk missing/invalid",""),IF(I124&gt;J124,"New HIV infections &gt; population at risk","")))</x:f>
      </x:c>
    </x:row>
    <x:row r="125">
      <x:c r="A125" s="71"/>
      <x:c r="B125" s="72"/>
      <x:c r="C125" s="73"/>
      <x:c r="D125" s="73"/>
      <x:c r="E125" s="73"/>
      <x:c r="F125" s="73"/>
      <x:c r="G125" s="73"/>
      <x:c r="H125" s="73"/>
      <x:c r="I125" s="73"/>
      <x:c r="J125" s="73"/>
      <x:c r="K125" s="74" t="str">
        <x:f>IF(OR(D125="",E125=""),"",IFERROR(D125/E125,""))</x:f>
      </x:c>
      <x:c r="L125" s="75" t="str">
        <x:f>IF(OR(F125="",C125=""),"",IFERROR(F125/C125*1000,""))</x:f>
      </x:c>
      <x:c r="M125" s="74" t="str">
        <x:f>IF(OR(H125="",G125=""),"",IFERROR(H125/G125,""))</x:f>
      </x:c>
      <x:c r="N125" s="74" t="str">
        <x:f>IF(OR(I125="",J125=""),"",IFERROR(I125/J125,""))</x:f>
      </x:c>
      <x:c r="O125" s="76" t="str">
        <x:f>IF(A125="","",TEXTJOIN("; ",TRUE,IF(C125&lt;=0,"Population missing/invalid",""),IF(E125&lt;=0,"TB estimated cases missing/invalid",""),IF(D125&gt;E125,"TB notified &gt; estimated incident cases",""),IF(F125&gt;C125,"Malaria cases &gt; population (review period/definition)",""),IF(G125&lt;=0,"PLHIV denominator missing/invalid",""),IF(H125&gt;G125,"ART count &gt; estimated PLHIV",""),IF(J125&lt;=0,"HIV population-at-risk missing/invalid",""),IF(I125&gt;J125,"New HIV infections &gt; population at risk","")))</x:f>
      </x:c>
    </x:row>
    <x:row r="126">
      <x:c r="A126" s="71"/>
      <x:c r="B126" s="72"/>
      <x:c r="C126" s="73"/>
      <x:c r="D126" s="73"/>
      <x:c r="E126" s="73"/>
      <x:c r="F126" s="73"/>
      <x:c r="G126" s="73"/>
      <x:c r="H126" s="73"/>
      <x:c r="I126" s="73"/>
      <x:c r="J126" s="73"/>
      <x:c r="K126" s="74" t="str">
        <x:f>IF(OR(D126="",E126=""),"",IFERROR(D126/E126,""))</x:f>
      </x:c>
      <x:c r="L126" s="75" t="str">
        <x:f>IF(OR(F126="",C126=""),"",IFERROR(F126/C126*1000,""))</x:f>
      </x:c>
      <x:c r="M126" s="74" t="str">
        <x:f>IF(OR(H126="",G126=""),"",IFERROR(H126/G126,""))</x:f>
      </x:c>
      <x:c r="N126" s="74" t="str">
        <x:f>IF(OR(I126="",J126=""),"",IFERROR(I126/J126,""))</x:f>
      </x:c>
      <x:c r="O126" s="76" t="str">
        <x:f>IF(A126="","",TEXTJOIN("; ",TRUE,IF(C126&lt;=0,"Population missing/invalid",""),IF(E126&lt;=0,"TB estimated cases missing/invalid",""),IF(D126&gt;E126,"TB notified &gt; estimated incident cases",""),IF(F126&gt;C126,"Malaria cases &gt; population (review period/definition)",""),IF(G126&lt;=0,"PLHIV denominator missing/invalid",""),IF(H126&gt;G126,"ART count &gt; estimated PLHIV",""),IF(J126&lt;=0,"HIV population-at-risk missing/invalid",""),IF(I126&gt;J126,"New HIV infections &gt; population at risk","")))</x:f>
      </x:c>
    </x:row>
    <x:row r="127">
      <x:c r="A127" s="71"/>
      <x:c r="B127" s="72"/>
      <x:c r="C127" s="73"/>
      <x:c r="D127" s="73"/>
      <x:c r="E127" s="73"/>
      <x:c r="F127" s="73"/>
      <x:c r="G127" s="73"/>
      <x:c r="H127" s="73"/>
      <x:c r="I127" s="73"/>
      <x:c r="J127" s="73"/>
      <x:c r="K127" s="74" t="str">
        <x:f>IF(OR(D127="",E127=""),"",IFERROR(D127/E127,""))</x:f>
      </x:c>
      <x:c r="L127" s="75" t="str">
        <x:f>IF(OR(F127="",C127=""),"",IFERROR(F127/C127*1000,""))</x:f>
      </x:c>
      <x:c r="M127" s="74" t="str">
        <x:f>IF(OR(H127="",G127=""),"",IFERROR(H127/G127,""))</x:f>
      </x:c>
      <x:c r="N127" s="74" t="str">
        <x:f>IF(OR(I127="",J127=""),"",IFERROR(I127/J127,""))</x:f>
      </x:c>
      <x:c r="O127" s="76" t="str">
        <x:f>IF(A127="","",TEXTJOIN("; ",TRUE,IF(C127&lt;=0,"Population missing/invalid",""),IF(E127&lt;=0,"TB estimated cases missing/invalid",""),IF(D127&gt;E127,"TB notified &gt; estimated incident cases",""),IF(F127&gt;C127,"Malaria cases &gt; population (review period/definition)",""),IF(G127&lt;=0,"PLHIV denominator missing/invalid",""),IF(H127&gt;G127,"ART count &gt; estimated PLHIV",""),IF(J127&lt;=0,"HIV population-at-risk missing/invalid",""),IF(I127&gt;J127,"New HIV infections &gt; population at risk","")))</x:f>
      </x:c>
    </x:row>
    <x:row r="128">
      <x:c r="A128" s="71"/>
      <x:c r="B128" s="72"/>
      <x:c r="C128" s="73"/>
      <x:c r="D128" s="73"/>
      <x:c r="E128" s="73"/>
      <x:c r="F128" s="73"/>
      <x:c r="G128" s="73"/>
      <x:c r="H128" s="73"/>
      <x:c r="I128" s="73"/>
      <x:c r="J128" s="73"/>
      <x:c r="K128" s="74" t="str">
        <x:f>IF(OR(D128="",E128=""),"",IFERROR(D128/E128,""))</x:f>
      </x:c>
      <x:c r="L128" s="75" t="str">
        <x:f>IF(OR(F128="",C128=""),"",IFERROR(F128/C128*1000,""))</x:f>
      </x:c>
      <x:c r="M128" s="74" t="str">
        <x:f>IF(OR(H128="",G128=""),"",IFERROR(H128/G128,""))</x:f>
      </x:c>
      <x:c r="N128" s="74" t="str">
        <x:f>IF(OR(I128="",J128=""),"",IFERROR(I128/J128,""))</x:f>
      </x:c>
      <x:c r="O128" s="76" t="str">
        <x:f>IF(A128="","",TEXTJOIN("; ",TRUE,IF(C128&lt;=0,"Population missing/invalid",""),IF(E128&lt;=0,"TB estimated cases missing/invalid",""),IF(D128&gt;E128,"TB notified &gt; estimated incident cases",""),IF(F128&gt;C128,"Malaria cases &gt; population (review period/definition)",""),IF(G128&lt;=0,"PLHIV denominator missing/invalid",""),IF(H128&gt;G128,"ART count &gt; estimated PLHIV",""),IF(J128&lt;=0,"HIV population-at-risk missing/invalid",""),IF(I128&gt;J128,"New HIV infections &gt; population at risk","")))</x:f>
      </x:c>
    </x:row>
    <x:row r="129">
      <x:c r="A129" s="71"/>
      <x:c r="B129" s="72"/>
      <x:c r="C129" s="73"/>
      <x:c r="D129" s="73"/>
      <x:c r="E129" s="73"/>
      <x:c r="F129" s="73"/>
      <x:c r="G129" s="73"/>
      <x:c r="H129" s="73"/>
      <x:c r="I129" s="73"/>
      <x:c r="J129" s="73"/>
      <x:c r="K129" s="74" t="str">
        <x:f>IF(OR(D129="",E129=""),"",IFERROR(D129/E129,""))</x:f>
      </x:c>
      <x:c r="L129" s="75" t="str">
        <x:f>IF(OR(F129="",C129=""),"",IFERROR(F129/C129*1000,""))</x:f>
      </x:c>
      <x:c r="M129" s="74" t="str">
        <x:f>IF(OR(H129="",G129=""),"",IFERROR(H129/G129,""))</x:f>
      </x:c>
      <x:c r="N129" s="74" t="str">
        <x:f>IF(OR(I129="",J129=""),"",IFERROR(I129/J129,""))</x:f>
      </x:c>
      <x:c r="O129" s="76" t="str">
        <x:f>IF(A129="","",TEXTJOIN("; ",TRUE,IF(C129&lt;=0,"Population missing/invalid",""),IF(E129&lt;=0,"TB estimated cases missing/invalid",""),IF(D129&gt;E129,"TB notified &gt; estimated incident cases",""),IF(F129&gt;C129,"Malaria cases &gt; population (review period/definition)",""),IF(G129&lt;=0,"PLHIV denominator missing/invalid",""),IF(H129&gt;G129,"ART count &gt; estimated PLHIV",""),IF(J129&lt;=0,"HIV population-at-risk missing/invalid",""),IF(I129&gt;J129,"New HIV infections &gt; population at risk","")))</x:f>
      </x:c>
    </x:row>
    <x:row r="130">
      <x:c r="A130" s="71"/>
      <x:c r="B130" s="72"/>
      <x:c r="C130" s="73"/>
      <x:c r="D130" s="73"/>
      <x:c r="E130" s="73"/>
      <x:c r="F130" s="73"/>
      <x:c r="G130" s="73"/>
      <x:c r="H130" s="73"/>
      <x:c r="I130" s="73"/>
      <x:c r="J130" s="73"/>
      <x:c r="K130" s="74" t="str">
        <x:f>IF(OR(D130="",E130=""),"",IFERROR(D130/E130,""))</x:f>
      </x:c>
      <x:c r="L130" s="75" t="str">
        <x:f>IF(OR(F130="",C130=""),"",IFERROR(F130/C130*1000,""))</x:f>
      </x:c>
      <x:c r="M130" s="74" t="str">
        <x:f>IF(OR(H130="",G130=""),"",IFERROR(H130/G130,""))</x:f>
      </x:c>
      <x:c r="N130" s="74" t="str">
        <x:f>IF(OR(I130="",J130=""),"",IFERROR(I130/J130,""))</x:f>
      </x:c>
      <x:c r="O130" s="76" t="str">
        <x:f>IF(A130="","",TEXTJOIN("; ",TRUE,IF(C130&lt;=0,"Population missing/invalid",""),IF(E130&lt;=0,"TB estimated cases missing/invalid",""),IF(D130&gt;E130,"TB notified &gt; estimated incident cases",""),IF(F130&gt;C130,"Malaria cases &gt; population (review period/definition)",""),IF(G130&lt;=0,"PLHIV denominator missing/invalid",""),IF(H130&gt;G130,"ART count &gt; estimated PLHIV",""),IF(J130&lt;=0,"HIV population-at-risk missing/invalid",""),IF(I130&gt;J130,"New HIV infections &gt; population at risk","")))</x:f>
      </x:c>
    </x:row>
    <x:row r="131">
      <x:c r="A131" s="71"/>
      <x:c r="B131" s="72"/>
      <x:c r="C131" s="73"/>
      <x:c r="D131" s="73"/>
      <x:c r="E131" s="73"/>
      <x:c r="F131" s="73"/>
      <x:c r="G131" s="73"/>
      <x:c r="H131" s="73"/>
      <x:c r="I131" s="73"/>
      <x:c r="J131" s="73"/>
      <x:c r="K131" s="74" t="str">
        <x:f>IF(OR(D131="",E131=""),"",IFERROR(D131/E131,""))</x:f>
      </x:c>
      <x:c r="L131" s="75" t="str">
        <x:f>IF(OR(F131="",C131=""),"",IFERROR(F131/C131*1000,""))</x:f>
      </x:c>
      <x:c r="M131" s="74" t="str">
        <x:f>IF(OR(H131="",G131=""),"",IFERROR(H131/G131,""))</x:f>
      </x:c>
      <x:c r="N131" s="74" t="str">
        <x:f>IF(OR(I131="",J131=""),"",IFERROR(I131/J131,""))</x:f>
      </x:c>
      <x:c r="O131" s="76" t="str">
        <x:f>IF(A131="","",TEXTJOIN("; ",TRUE,IF(C131&lt;=0,"Population missing/invalid",""),IF(E131&lt;=0,"TB estimated cases missing/invalid",""),IF(D131&gt;E131,"TB notified &gt; estimated incident cases",""),IF(F131&gt;C131,"Malaria cases &gt; population (review period/definition)",""),IF(G131&lt;=0,"PLHIV denominator missing/invalid",""),IF(H131&gt;G131,"ART count &gt; estimated PLHIV",""),IF(J131&lt;=0,"HIV population-at-risk missing/invalid",""),IF(I131&gt;J131,"New HIV infections &gt; population at risk","")))</x:f>
      </x:c>
    </x:row>
    <x:row r="132">
      <x:c r="A132" s="71"/>
      <x:c r="B132" s="72"/>
      <x:c r="C132" s="73"/>
      <x:c r="D132" s="73"/>
      <x:c r="E132" s="73"/>
      <x:c r="F132" s="73"/>
      <x:c r="G132" s="73"/>
      <x:c r="H132" s="73"/>
      <x:c r="I132" s="73"/>
      <x:c r="J132" s="73"/>
      <x:c r="K132" s="74" t="str">
        <x:f>IF(OR(D132="",E132=""),"",IFERROR(D132/E132,""))</x:f>
      </x:c>
      <x:c r="L132" s="75" t="str">
        <x:f>IF(OR(F132="",C132=""),"",IFERROR(F132/C132*1000,""))</x:f>
      </x:c>
      <x:c r="M132" s="74" t="str">
        <x:f>IF(OR(H132="",G132=""),"",IFERROR(H132/G132,""))</x:f>
      </x:c>
      <x:c r="N132" s="74" t="str">
        <x:f>IF(OR(I132="",J132=""),"",IFERROR(I132/J132,""))</x:f>
      </x:c>
      <x:c r="O132" s="76" t="str">
        <x:f>IF(A132="","",TEXTJOIN("; ",TRUE,IF(C132&lt;=0,"Population missing/invalid",""),IF(E132&lt;=0,"TB estimated cases missing/invalid",""),IF(D132&gt;E132,"TB notified &gt; estimated incident cases",""),IF(F132&gt;C132,"Malaria cases &gt; population (review period/definition)",""),IF(G132&lt;=0,"PLHIV denominator missing/invalid",""),IF(H132&gt;G132,"ART count &gt; estimated PLHIV",""),IF(J132&lt;=0,"HIV population-at-risk missing/invalid",""),IF(I132&gt;J132,"New HIV infections &gt; population at risk","")))</x:f>
      </x:c>
    </x:row>
    <x:row r="133">
      <x:c r="A133" s="71"/>
      <x:c r="B133" s="72"/>
      <x:c r="C133" s="73"/>
      <x:c r="D133" s="73"/>
      <x:c r="E133" s="73"/>
      <x:c r="F133" s="73"/>
      <x:c r="G133" s="73"/>
      <x:c r="H133" s="73"/>
      <x:c r="I133" s="73"/>
      <x:c r="J133" s="73"/>
      <x:c r="K133" s="74" t="str">
        <x:f>IF(OR(D133="",E133=""),"",IFERROR(D133/E133,""))</x:f>
      </x:c>
      <x:c r="L133" s="75" t="str">
        <x:f>IF(OR(F133="",C133=""),"",IFERROR(F133/C133*1000,""))</x:f>
      </x:c>
      <x:c r="M133" s="74" t="str">
        <x:f>IF(OR(H133="",G133=""),"",IFERROR(H133/G133,""))</x:f>
      </x:c>
      <x:c r="N133" s="74" t="str">
        <x:f>IF(OR(I133="",J133=""),"",IFERROR(I133/J133,""))</x:f>
      </x:c>
      <x:c r="O133" s="76" t="str">
        <x:f>IF(A133="","",TEXTJOIN("; ",TRUE,IF(C133&lt;=0,"Population missing/invalid",""),IF(E133&lt;=0,"TB estimated cases missing/invalid",""),IF(D133&gt;E133,"TB notified &gt; estimated incident cases",""),IF(F133&gt;C133,"Malaria cases &gt; population (review period/definition)",""),IF(G133&lt;=0,"PLHIV denominator missing/invalid",""),IF(H133&gt;G133,"ART count &gt; estimated PLHIV",""),IF(J133&lt;=0,"HIV population-at-risk missing/invalid",""),IF(I133&gt;J133,"New HIV infections &gt; population at risk","")))</x:f>
      </x:c>
    </x:row>
    <x:row r="134">
      <x:c r="A134" s="71"/>
      <x:c r="B134" s="72"/>
      <x:c r="C134" s="73"/>
      <x:c r="D134" s="73"/>
      <x:c r="E134" s="73"/>
      <x:c r="F134" s="73"/>
      <x:c r="G134" s="73"/>
      <x:c r="H134" s="73"/>
      <x:c r="I134" s="73"/>
      <x:c r="J134" s="73"/>
      <x:c r="K134" s="74" t="str">
        <x:f>IF(OR(D134="",E134=""),"",IFERROR(D134/E134,""))</x:f>
      </x:c>
      <x:c r="L134" s="75" t="str">
        <x:f>IF(OR(F134="",C134=""),"",IFERROR(F134/C134*1000,""))</x:f>
      </x:c>
      <x:c r="M134" s="74" t="str">
        <x:f>IF(OR(H134="",G134=""),"",IFERROR(H134/G134,""))</x:f>
      </x:c>
      <x:c r="N134" s="74" t="str">
        <x:f>IF(OR(I134="",J134=""),"",IFERROR(I134/J134,""))</x:f>
      </x:c>
      <x:c r="O134" s="76" t="str">
        <x:f>IF(A134="","",TEXTJOIN("; ",TRUE,IF(C134&lt;=0,"Population missing/invalid",""),IF(E134&lt;=0,"TB estimated cases missing/invalid",""),IF(D134&gt;E134,"TB notified &gt; estimated incident cases",""),IF(F134&gt;C134,"Malaria cases &gt; population (review period/definition)",""),IF(G134&lt;=0,"PLHIV denominator missing/invalid",""),IF(H134&gt;G134,"ART count &gt; estimated PLHIV",""),IF(J134&lt;=0,"HIV population-at-risk missing/invalid",""),IF(I134&gt;J134,"New HIV infections &gt; population at risk","")))</x:f>
      </x:c>
    </x:row>
    <x:row r="135">
      <x:c r="A135" s="71"/>
      <x:c r="B135" s="72"/>
      <x:c r="C135" s="73"/>
      <x:c r="D135" s="73"/>
      <x:c r="E135" s="73"/>
      <x:c r="F135" s="73"/>
      <x:c r="G135" s="73"/>
      <x:c r="H135" s="73"/>
      <x:c r="I135" s="73"/>
      <x:c r="J135" s="73"/>
      <x:c r="K135" s="74" t="str">
        <x:f>IF(OR(D135="",E135=""),"",IFERROR(D135/E135,""))</x:f>
      </x:c>
      <x:c r="L135" s="75" t="str">
        <x:f>IF(OR(F135="",C135=""),"",IFERROR(F135/C135*1000,""))</x:f>
      </x:c>
      <x:c r="M135" s="74" t="str">
        <x:f>IF(OR(H135="",G135=""),"",IFERROR(H135/G135,""))</x:f>
      </x:c>
      <x:c r="N135" s="74" t="str">
        <x:f>IF(OR(I135="",J135=""),"",IFERROR(I135/J135,""))</x:f>
      </x:c>
      <x:c r="O135" s="76" t="str">
        <x:f>IF(A135="","",TEXTJOIN("; ",TRUE,IF(C135&lt;=0,"Population missing/invalid",""),IF(E135&lt;=0,"TB estimated cases missing/invalid",""),IF(D135&gt;E135,"TB notified &gt; estimated incident cases",""),IF(F135&gt;C135,"Malaria cases &gt; population (review period/definition)",""),IF(G135&lt;=0,"PLHIV denominator missing/invalid",""),IF(H135&gt;G135,"ART count &gt; estimated PLHIV",""),IF(J135&lt;=0,"HIV population-at-risk missing/invalid",""),IF(I135&gt;J135,"New HIV infections &gt; population at risk","")))</x:f>
      </x:c>
    </x:row>
    <x:row r="136">
      <x:c r="A136" s="71"/>
      <x:c r="B136" s="72"/>
      <x:c r="C136" s="73"/>
      <x:c r="D136" s="73"/>
      <x:c r="E136" s="73"/>
      <x:c r="F136" s="73"/>
      <x:c r="G136" s="73"/>
      <x:c r="H136" s="73"/>
      <x:c r="I136" s="73"/>
      <x:c r="J136" s="73"/>
      <x:c r="K136" s="74" t="str">
        <x:f>IF(OR(D136="",E136=""),"",IFERROR(D136/E136,""))</x:f>
      </x:c>
      <x:c r="L136" s="75" t="str">
        <x:f>IF(OR(F136="",C136=""),"",IFERROR(F136/C136*1000,""))</x:f>
      </x:c>
      <x:c r="M136" s="74" t="str">
        <x:f>IF(OR(H136="",G136=""),"",IFERROR(H136/G136,""))</x:f>
      </x:c>
      <x:c r="N136" s="74" t="str">
        <x:f>IF(OR(I136="",J136=""),"",IFERROR(I136/J136,""))</x:f>
      </x:c>
      <x:c r="O136" s="76" t="str">
        <x:f>IF(A136="","",TEXTJOIN("; ",TRUE,IF(C136&lt;=0,"Population missing/invalid",""),IF(E136&lt;=0,"TB estimated cases missing/invalid",""),IF(D136&gt;E136,"TB notified &gt; estimated incident cases",""),IF(F136&gt;C136,"Malaria cases &gt; population (review period/definition)",""),IF(G136&lt;=0,"PLHIV denominator missing/invalid",""),IF(H136&gt;G136,"ART count &gt; estimated PLHIV",""),IF(J136&lt;=0,"HIV population-at-risk missing/invalid",""),IF(I136&gt;J136,"New HIV infections &gt; population at risk","")))</x:f>
      </x:c>
    </x:row>
    <x:row r="137">
      <x:c r="A137" s="71"/>
      <x:c r="B137" s="72"/>
      <x:c r="C137" s="73"/>
      <x:c r="D137" s="73"/>
      <x:c r="E137" s="73"/>
      <x:c r="F137" s="73"/>
      <x:c r="G137" s="73"/>
      <x:c r="H137" s="73"/>
      <x:c r="I137" s="73"/>
      <x:c r="J137" s="73"/>
      <x:c r="K137" s="74" t="str">
        <x:f>IF(OR(D137="",E137=""),"",IFERROR(D137/E137,""))</x:f>
      </x:c>
      <x:c r="L137" s="75" t="str">
        <x:f>IF(OR(F137="",C137=""),"",IFERROR(F137/C137*1000,""))</x:f>
      </x:c>
      <x:c r="M137" s="74" t="str">
        <x:f>IF(OR(H137="",G137=""),"",IFERROR(H137/G137,""))</x:f>
      </x:c>
      <x:c r="N137" s="74" t="str">
        <x:f>IF(OR(I137="",J137=""),"",IFERROR(I137/J137,""))</x:f>
      </x:c>
      <x:c r="O137" s="76" t="str">
        <x:f>IF(A137="","",TEXTJOIN("; ",TRUE,IF(C137&lt;=0,"Population missing/invalid",""),IF(E137&lt;=0,"TB estimated cases missing/invalid",""),IF(D137&gt;E137,"TB notified &gt; estimated incident cases",""),IF(F137&gt;C137,"Malaria cases &gt; population (review period/definition)",""),IF(G137&lt;=0,"PLHIV denominator missing/invalid",""),IF(H137&gt;G137,"ART count &gt; estimated PLHIV",""),IF(J137&lt;=0,"HIV population-at-risk missing/invalid",""),IF(I137&gt;J137,"New HIV infections &gt; population at risk","")))</x:f>
      </x:c>
    </x:row>
    <x:row r="138">
      <x:c r="A138" s="71"/>
      <x:c r="B138" s="72"/>
      <x:c r="C138" s="73"/>
      <x:c r="D138" s="73"/>
      <x:c r="E138" s="73"/>
      <x:c r="F138" s="73"/>
      <x:c r="G138" s="73"/>
      <x:c r="H138" s="73"/>
      <x:c r="I138" s="73"/>
      <x:c r="J138" s="73"/>
      <x:c r="K138" s="74" t="str">
        <x:f>IF(OR(D138="",E138=""),"",IFERROR(D138/E138,""))</x:f>
      </x:c>
      <x:c r="L138" s="75" t="str">
        <x:f>IF(OR(F138="",C138=""),"",IFERROR(F138/C138*1000,""))</x:f>
      </x:c>
      <x:c r="M138" s="74" t="str">
        <x:f>IF(OR(H138="",G138=""),"",IFERROR(H138/G138,""))</x:f>
      </x:c>
      <x:c r="N138" s="74" t="str">
        <x:f>IF(OR(I138="",J138=""),"",IFERROR(I138/J138,""))</x:f>
      </x:c>
      <x:c r="O138" s="76" t="str">
        <x:f>IF(A138="","",TEXTJOIN("; ",TRUE,IF(C138&lt;=0,"Population missing/invalid",""),IF(E138&lt;=0,"TB estimated cases missing/invalid",""),IF(D138&gt;E138,"TB notified &gt; estimated incident cases",""),IF(F138&gt;C138,"Malaria cases &gt; population (review period/definition)",""),IF(G138&lt;=0,"PLHIV denominator missing/invalid",""),IF(H138&gt;G138,"ART count &gt; estimated PLHIV",""),IF(J138&lt;=0,"HIV population-at-risk missing/invalid",""),IF(I138&gt;J138,"New HIV infections &gt; population at risk","")))</x:f>
      </x:c>
    </x:row>
    <x:row r="139">
      <x:c r="A139" s="71"/>
      <x:c r="B139" s="72"/>
      <x:c r="C139" s="73"/>
      <x:c r="D139" s="73"/>
      <x:c r="E139" s="73"/>
      <x:c r="F139" s="73"/>
      <x:c r="G139" s="73"/>
      <x:c r="H139" s="73"/>
      <x:c r="I139" s="73"/>
      <x:c r="J139" s="73"/>
      <x:c r="K139" s="74" t="str">
        <x:f>IF(OR(D139="",E139=""),"",IFERROR(D139/E139,""))</x:f>
      </x:c>
      <x:c r="L139" s="75" t="str">
        <x:f>IF(OR(F139="",C139=""),"",IFERROR(F139/C139*1000,""))</x:f>
      </x:c>
      <x:c r="M139" s="74" t="str">
        <x:f>IF(OR(H139="",G139=""),"",IFERROR(H139/G139,""))</x:f>
      </x:c>
      <x:c r="N139" s="74" t="str">
        <x:f>IF(OR(I139="",J139=""),"",IFERROR(I139/J139,""))</x:f>
      </x:c>
      <x:c r="O139" s="76" t="str">
        <x:f>IF(A139="","",TEXTJOIN("; ",TRUE,IF(C139&lt;=0,"Population missing/invalid",""),IF(E139&lt;=0,"TB estimated cases missing/invalid",""),IF(D139&gt;E139,"TB notified &gt; estimated incident cases",""),IF(F139&gt;C139,"Malaria cases &gt; population (review period/definition)",""),IF(G139&lt;=0,"PLHIV denominator missing/invalid",""),IF(H139&gt;G139,"ART count &gt; estimated PLHIV",""),IF(J139&lt;=0,"HIV population-at-risk missing/invalid",""),IF(I139&gt;J139,"New HIV infections &gt; population at risk","")))</x:f>
      </x:c>
    </x:row>
    <x:row r="140">
      <x:c r="A140" s="71"/>
      <x:c r="B140" s="72"/>
      <x:c r="C140" s="73"/>
      <x:c r="D140" s="73"/>
      <x:c r="E140" s="73"/>
      <x:c r="F140" s="73"/>
      <x:c r="G140" s="73"/>
      <x:c r="H140" s="73"/>
      <x:c r="I140" s="73"/>
      <x:c r="J140" s="73"/>
      <x:c r="K140" s="74" t="str">
        <x:f>IF(OR(D140="",E140=""),"",IFERROR(D140/E140,""))</x:f>
      </x:c>
      <x:c r="L140" s="75" t="str">
        <x:f>IF(OR(F140="",C140=""),"",IFERROR(F140/C140*1000,""))</x:f>
      </x:c>
      <x:c r="M140" s="74" t="str">
        <x:f>IF(OR(H140="",G140=""),"",IFERROR(H140/G140,""))</x:f>
      </x:c>
      <x:c r="N140" s="74" t="str">
        <x:f>IF(OR(I140="",J140=""),"",IFERROR(I140/J140,""))</x:f>
      </x:c>
      <x:c r="O140" s="76" t="str">
        <x:f>IF(A140="","",TEXTJOIN("; ",TRUE,IF(C140&lt;=0,"Population missing/invalid",""),IF(E140&lt;=0,"TB estimated cases missing/invalid",""),IF(D140&gt;E140,"TB notified &gt; estimated incident cases",""),IF(F140&gt;C140,"Malaria cases &gt; population (review period/definition)",""),IF(G140&lt;=0,"PLHIV denominator missing/invalid",""),IF(H140&gt;G140,"ART count &gt; estimated PLHIV",""),IF(J140&lt;=0,"HIV population-at-risk missing/invalid",""),IF(I140&gt;J140,"New HIV infections &gt; population at risk","")))</x:f>
      </x:c>
    </x:row>
    <x:row r="141">
      <x:c r="A141" s="71"/>
      <x:c r="B141" s="72"/>
      <x:c r="C141" s="73"/>
      <x:c r="D141" s="73"/>
      <x:c r="E141" s="73"/>
      <x:c r="F141" s="73"/>
      <x:c r="G141" s="73"/>
      <x:c r="H141" s="73"/>
      <x:c r="I141" s="73"/>
      <x:c r="J141" s="73"/>
      <x:c r="K141" s="74" t="str">
        <x:f>IF(OR(D141="",E141=""),"",IFERROR(D141/E141,""))</x:f>
      </x:c>
      <x:c r="L141" s="75" t="str">
        <x:f>IF(OR(F141="",C141=""),"",IFERROR(F141/C141*1000,""))</x:f>
      </x:c>
      <x:c r="M141" s="74" t="str">
        <x:f>IF(OR(H141="",G141=""),"",IFERROR(H141/G141,""))</x:f>
      </x:c>
      <x:c r="N141" s="74" t="str">
        <x:f>IF(OR(I141="",J141=""),"",IFERROR(I141/J141,""))</x:f>
      </x:c>
      <x:c r="O141" s="76" t="str">
        <x:f>IF(A141="","",TEXTJOIN("; ",TRUE,IF(C141&lt;=0,"Population missing/invalid",""),IF(E141&lt;=0,"TB estimated cases missing/invalid",""),IF(D141&gt;E141,"TB notified &gt; estimated incident cases",""),IF(F141&gt;C141,"Malaria cases &gt; population (review period/definition)",""),IF(G141&lt;=0,"PLHIV denominator missing/invalid",""),IF(H141&gt;G141,"ART count &gt; estimated PLHIV",""),IF(J141&lt;=0,"HIV population-at-risk missing/invalid",""),IF(I141&gt;J141,"New HIV infections &gt; population at risk","")))</x:f>
      </x:c>
    </x:row>
    <x:row r="142">
      <x:c r="A142" s="71"/>
      <x:c r="B142" s="72"/>
      <x:c r="C142" s="73"/>
      <x:c r="D142" s="73"/>
      <x:c r="E142" s="73"/>
      <x:c r="F142" s="73"/>
      <x:c r="G142" s="73"/>
      <x:c r="H142" s="73"/>
      <x:c r="I142" s="73"/>
      <x:c r="J142" s="73"/>
      <x:c r="K142" s="74" t="str">
        <x:f>IF(OR(D142="",E142=""),"",IFERROR(D142/E142,""))</x:f>
      </x:c>
      <x:c r="L142" s="75" t="str">
        <x:f>IF(OR(F142="",C142=""),"",IFERROR(F142/C142*1000,""))</x:f>
      </x:c>
      <x:c r="M142" s="74" t="str">
        <x:f>IF(OR(H142="",G142=""),"",IFERROR(H142/G142,""))</x:f>
      </x:c>
      <x:c r="N142" s="74" t="str">
        <x:f>IF(OR(I142="",J142=""),"",IFERROR(I142/J142,""))</x:f>
      </x:c>
      <x:c r="O142" s="76" t="str">
        <x:f>IF(A142="","",TEXTJOIN("; ",TRUE,IF(C142&lt;=0,"Population missing/invalid",""),IF(E142&lt;=0,"TB estimated cases missing/invalid",""),IF(D142&gt;E142,"TB notified &gt; estimated incident cases",""),IF(F142&gt;C142,"Malaria cases &gt; population (review period/definition)",""),IF(G142&lt;=0,"PLHIV denominator missing/invalid",""),IF(H142&gt;G142,"ART count &gt; estimated PLHIV",""),IF(J142&lt;=0,"HIV population-at-risk missing/invalid",""),IF(I142&gt;J142,"New HIV infections &gt; population at risk","")))</x:f>
      </x:c>
    </x:row>
    <x:row r="143">
      <x:c r="A143" s="71"/>
      <x:c r="B143" s="72"/>
      <x:c r="C143" s="73"/>
      <x:c r="D143" s="73"/>
      <x:c r="E143" s="73"/>
      <x:c r="F143" s="73"/>
      <x:c r="G143" s="73"/>
      <x:c r="H143" s="73"/>
      <x:c r="I143" s="73"/>
      <x:c r="J143" s="73"/>
      <x:c r="K143" s="74" t="str">
        <x:f>IF(OR(D143="",E143=""),"",IFERROR(D143/E143,""))</x:f>
      </x:c>
      <x:c r="L143" s="75" t="str">
        <x:f>IF(OR(F143="",C143=""),"",IFERROR(F143/C143*1000,""))</x:f>
      </x:c>
      <x:c r="M143" s="74" t="str">
        <x:f>IF(OR(H143="",G143=""),"",IFERROR(H143/G143,""))</x:f>
      </x:c>
      <x:c r="N143" s="74" t="str">
        <x:f>IF(OR(I143="",J143=""),"",IFERROR(I143/J143,""))</x:f>
      </x:c>
      <x:c r="O143" s="76" t="str">
        <x:f>IF(A143="","",TEXTJOIN("; ",TRUE,IF(C143&lt;=0,"Population missing/invalid",""),IF(E143&lt;=0,"TB estimated cases missing/invalid",""),IF(D143&gt;E143,"TB notified &gt; estimated incident cases",""),IF(F143&gt;C143,"Malaria cases &gt; population (review period/definition)",""),IF(G143&lt;=0,"PLHIV denominator missing/invalid",""),IF(H143&gt;G143,"ART count &gt; estimated PLHIV",""),IF(J143&lt;=0,"HIV population-at-risk missing/invalid",""),IF(I143&gt;J143,"New HIV infections &gt; population at risk","")))</x:f>
      </x:c>
    </x:row>
    <x:row r="144">
      <x:c r="A144" s="71"/>
      <x:c r="B144" s="72"/>
      <x:c r="C144" s="73"/>
      <x:c r="D144" s="73"/>
      <x:c r="E144" s="73"/>
      <x:c r="F144" s="73"/>
      <x:c r="G144" s="73"/>
      <x:c r="H144" s="73"/>
      <x:c r="I144" s="73"/>
      <x:c r="J144" s="73"/>
      <x:c r="K144" s="74" t="str">
        <x:f>IF(OR(D144="",E144=""),"",IFERROR(D144/E144,""))</x:f>
      </x:c>
      <x:c r="L144" s="75" t="str">
        <x:f>IF(OR(F144="",C144=""),"",IFERROR(F144/C144*1000,""))</x:f>
      </x:c>
      <x:c r="M144" s="74" t="str">
        <x:f>IF(OR(H144="",G144=""),"",IFERROR(H144/G144,""))</x:f>
      </x:c>
      <x:c r="N144" s="74" t="str">
        <x:f>IF(OR(I144="",J144=""),"",IFERROR(I144/J144,""))</x:f>
      </x:c>
      <x:c r="O144" s="76" t="str">
        <x:f>IF(A144="","",TEXTJOIN("; ",TRUE,IF(C144&lt;=0,"Population missing/invalid",""),IF(E144&lt;=0,"TB estimated cases missing/invalid",""),IF(D144&gt;E144,"TB notified &gt; estimated incident cases",""),IF(F144&gt;C144,"Malaria cases &gt; population (review period/definition)",""),IF(G144&lt;=0,"PLHIV denominator missing/invalid",""),IF(H144&gt;G144,"ART count &gt; estimated PLHIV",""),IF(J144&lt;=0,"HIV population-at-risk missing/invalid",""),IF(I144&gt;J144,"New HIV infections &gt; population at risk","")))</x:f>
      </x:c>
    </x:row>
    <x:row r="145">
      <x:c r="A145" s="71"/>
      <x:c r="B145" s="72"/>
      <x:c r="C145" s="73"/>
      <x:c r="D145" s="73"/>
      <x:c r="E145" s="73"/>
      <x:c r="F145" s="73"/>
      <x:c r="G145" s="73"/>
      <x:c r="H145" s="73"/>
      <x:c r="I145" s="73"/>
      <x:c r="J145" s="73"/>
      <x:c r="K145" s="74" t="str">
        <x:f>IF(OR(D145="",E145=""),"",IFERROR(D145/E145,""))</x:f>
      </x:c>
      <x:c r="L145" s="75" t="str">
        <x:f>IF(OR(F145="",C145=""),"",IFERROR(F145/C145*1000,""))</x:f>
      </x:c>
      <x:c r="M145" s="74" t="str">
        <x:f>IF(OR(H145="",G145=""),"",IFERROR(H145/G145,""))</x:f>
      </x:c>
      <x:c r="N145" s="74" t="str">
        <x:f>IF(OR(I145="",J145=""),"",IFERROR(I145/J145,""))</x:f>
      </x:c>
      <x:c r="O145" s="76" t="str">
        <x:f>IF(A145="","",TEXTJOIN("; ",TRUE,IF(C145&lt;=0,"Population missing/invalid",""),IF(E145&lt;=0,"TB estimated cases missing/invalid",""),IF(D145&gt;E145,"TB notified &gt; estimated incident cases",""),IF(F145&gt;C145,"Malaria cases &gt; population (review period/definition)",""),IF(G145&lt;=0,"PLHIV denominator missing/invalid",""),IF(H145&gt;G145,"ART count &gt; estimated PLHIV",""),IF(J145&lt;=0,"HIV population-at-risk missing/invalid",""),IF(I145&gt;J145,"New HIV infections &gt; population at risk","")))</x:f>
      </x:c>
    </x:row>
    <x:row r="146">
      <x:c r="A146" s="71"/>
      <x:c r="B146" s="72"/>
      <x:c r="C146" s="73"/>
      <x:c r="D146" s="73"/>
      <x:c r="E146" s="73"/>
      <x:c r="F146" s="73"/>
      <x:c r="G146" s="73"/>
      <x:c r="H146" s="73"/>
      <x:c r="I146" s="73"/>
      <x:c r="J146" s="73"/>
      <x:c r="K146" s="74" t="str">
        <x:f>IF(OR(D146="",E146=""),"",IFERROR(D146/E146,""))</x:f>
      </x:c>
      <x:c r="L146" s="75" t="str">
        <x:f>IF(OR(F146="",C146=""),"",IFERROR(F146/C146*1000,""))</x:f>
      </x:c>
      <x:c r="M146" s="74" t="str">
        <x:f>IF(OR(H146="",G146=""),"",IFERROR(H146/G146,""))</x:f>
      </x:c>
      <x:c r="N146" s="74" t="str">
        <x:f>IF(OR(I146="",J146=""),"",IFERROR(I146/J146,""))</x:f>
      </x:c>
      <x:c r="O146" s="76" t="str">
        <x:f>IF(A146="","",TEXTJOIN("; ",TRUE,IF(C146&lt;=0,"Population missing/invalid",""),IF(E146&lt;=0,"TB estimated cases missing/invalid",""),IF(D146&gt;E146,"TB notified &gt; estimated incident cases",""),IF(F146&gt;C146,"Malaria cases &gt; population (review period/definition)",""),IF(G146&lt;=0,"PLHIV denominator missing/invalid",""),IF(H146&gt;G146,"ART count &gt; estimated PLHIV",""),IF(J146&lt;=0,"HIV population-at-risk missing/invalid",""),IF(I146&gt;J146,"New HIV infections &gt; population at risk","")))</x:f>
      </x:c>
    </x:row>
    <x:row r="147">
      <x:c r="A147" s="71"/>
      <x:c r="B147" s="72"/>
      <x:c r="C147" s="73"/>
      <x:c r="D147" s="73"/>
      <x:c r="E147" s="73"/>
      <x:c r="F147" s="73"/>
      <x:c r="G147" s="73"/>
      <x:c r="H147" s="73"/>
      <x:c r="I147" s="73"/>
      <x:c r="J147" s="73"/>
      <x:c r="K147" s="74" t="str">
        <x:f>IF(OR(D147="",E147=""),"",IFERROR(D147/E147,""))</x:f>
      </x:c>
      <x:c r="L147" s="75" t="str">
        <x:f>IF(OR(F147="",C147=""),"",IFERROR(F147/C147*1000,""))</x:f>
      </x:c>
      <x:c r="M147" s="74" t="str">
        <x:f>IF(OR(H147="",G147=""),"",IFERROR(H147/G147,""))</x:f>
      </x:c>
      <x:c r="N147" s="74" t="str">
        <x:f>IF(OR(I147="",J147=""),"",IFERROR(I147/J147,""))</x:f>
      </x:c>
      <x:c r="O147" s="76" t="str">
        <x:f>IF(A147="","",TEXTJOIN("; ",TRUE,IF(C147&lt;=0,"Population missing/invalid",""),IF(E147&lt;=0,"TB estimated cases missing/invalid",""),IF(D147&gt;E147,"TB notified &gt; estimated incident cases",""),IF(F147&gt;C147,"Malaria cases &gt; population (review period/definition)",""),IF(G147&lt;=0,"PLHIV denominator missing/invalid",""),IF(H147&gt;G147,"ART count &gt; estimated PLHIV",""),IF(J147&lt;=0,"HIV population-at-risk missing/invalid",""),IF(I147&gt;J147,"New HIV infections &gt; population at risk","")))</x:f>
      </x:c>
    </x:row>
    <x:row r="148">
      <x:c r="A148" s="71"/>
      <x:c r="B148" s="72"/>
      <x:c r="C148" s="73"/>
      <x:c r="D148" s="73"/>
      <x:c r="E148" s="73"/>
      <x:c r="F148" s="73"/>
      <x:c r="G148" s="73"/>
      <x:c r="H148" s="73"/>
      <x:c r="I148" s="73"/>
      <x:c r="J148" s="73"/>
      <x:c r="K148" s="74" t="str">
        <x:f>IF(OR(D148="",E148=""),"",IFERROR(D148/E148,""))</x:f>
      </x:c>
      <x:c r="L148" s="75" t="str">
        <x:f>IF(OR(F148="",C148=""),"",IFERROR(F148/C148*1000,""))</x:f>
      </x:c>
      <x:c r="M148" s="74" t="str">
        <x:f>IF(OR(H148="",G148=""),"",IFERROR(H148/G148,""))</x:f>
      </x:c>
      <x:c r="N148" s="74" t="str">
        <x:f>IF(OR(I148="",J148=""),"",IFERROR(I148/J148,""))</x:f>
      </x:c>
      <x:c r="O148" s="76" t="str">
        <x:f>IF(A148="","",TEXTJOIN("; ",TRUE,IF(C148&lt;=0,"Population missing/invalid",""),IF(E148&lt;=0,"TB estimated cases missing/invalid",""),IF(D148&gt;E148,"TB notified &gt; estimated incident cases",""),IF(F148&gt;C148,"Malaria cases &gt; population (review period/definition)",""),IF(G148&lt;=0,"PLHIV denominator missing/invalid",""),IF(H148&gt;G148,"ART count &gt; estimated PLHIV",""),IF(J148&lt;=0,"HIV population-at-risk missing/invalid",""),IF(I148&gt;J148,"New HIV infections &gt; population at risk","")))</x:f>
      </x:c>
    </x:row>
    <x:row r="149">
      <x:c r="A149" s="71"/>
      <x:c r="B149" s="72"/>
      <x:c r="C149" s="73"/>
      <x:c r="D149" s="73"/>
      <x:c r="E149" s="73"/>
      <x:c r="F149" s="73"/>
      <x:c r="G149" s="73"/>
      <x:c r="H149" s="73"/>
      <x:c r="I149" s="73"/>
      <x:c r="J149" s="73"/>
      <x:c r="K149" s="74" t="str">
        <x:f>IF(OR(D149="",E149=""),"",IFERROR(D149/E149,""))</x:f>
      </x:c>
      <x:c r="L149" s="75" t="str">
        <x:f>IF(OR(F149="",C149=""),"",IFERROR(F149/C149*1000,""))</x:f>
      </x:c>
      <x:c r="M149" s="74" t="str">
        <x:f>IF(OR(H149="",G149=""),"",IFERROR(H149/G149,""))</x:f>
      </x:c>
      <x:c r="N149" s="74" t="str">
        <x:f>IF(OR(I149="",J149=""),"",IFERROR(I149/J149,""))</x:f>
      </x:c>
      <x:c r="O149" s="76" t="str">
        <x:f>IF(A149="","",TEXTJOIN("; ",TRUE,IF(C149&lt;=0,"Population missing/invalid",""),IF(E149&lt;=0,"TB estimated cases missing/invalid",""),IF(D149&gt;E149,"TB notified &gt; estimated incident cases",""),IF(F149&gt;C149,"Malaria cases &gt; population (review period/definition)",""),IF(G149&lt;=0,"PLHIV denominator missing/invalid",""),IF(H149&gt;G149,"ART count &gt; estimated PLHIV",""),IF(J149&lt;=0,"HIV population-at-risk missing/invalid",""),IF(I149&gt;J149,"New HIV infections &gt; population at risk","")))</x:f>
      </x:c>
    </x:row>
    <x:row r="150">
      <x:c r="A150" s="71"/>
      <x:c r="B150" s="72"/>
      <x:c r="C150" s="73"/>
      <x:c r="D150" s="73"/>
      <x:c r="E150" s="73"/>
      <x:c r="F150" s="73"/>
      <x:c r="G150" s="73"/>
      <x:c r="H150" s="73"/>
      <x:c r="I150" s="73"/>
      <x:c r="J150" s="73"/>
      <x:c r="K150" s="74" t="str">
        <x:f>IF(OR(D150="",E150=""),"",IFERROR(D150/E150,""))</x:f>
      </x:c>
      <x:c r="L150" s="75" t="str">
        <x:f>IF(OR(F150="",C150=""),"",IFERROR(F150/C150*1000,""))</x:f>
      </x:c>
      <x:c r="M150" s="74" t="str">
        <x:f>IF(OR(H150="",G150=""),"",IFERROR(H150/G150,""))</x:f>
      </x:c>
      <x:c r="N150" s="74" t="str">
        <x:f>IF(OR(I150="",J150=""),"",IFERROR(I150/J150,""))</x:f>
      </x:c>
      <x:c r="O150" s="76" t="str">
        <x:f>IF(A150="","",TEXTJOIN("; ",TRUE,IF(C150&lt;=0,"Population missing/invalid",""),IF(E150&lt;=0,"TB estimated cases missing/invalid",""),IF(D150&gt;E150,"TB notified &gt; estimated incident cases",""),IF(F150&gt;C150,"Malaria cases &gt; population (review period/definition)",""),IF(G150&lt;=0,"PLHIV denominator missing/invalid",""),IF(H150&gt;G150,"ART count &gt; estimated PLHIV",""),IF(J150&lt;=0,"HIV population-at-risk missing/invalid",""),IF(I150&gt;J150,"New HIV infections &gt; population at risk","")))</x:f>
      </x:c>
    </x:row>
    <x:row r="151">
      <x:c r="A151" s="71"/>
      <x:c r="B151" s="72"/>
      <x:c r="C151" s="73"/>
      <x:c r="D151" s="73"/>
      <x:c r="E151" s="73"/>
      <x:c r="F151" s="73"/>
      <x:c r="G151" s="73"/>
      <x:c r="H151" s="73"/>
      <x:c r="I151" s="73"/>
      <x:c r="J151" s="73"/>
      <x:c r="K151" s="74" t="str">
        <x:f>IF(OR(D151="",E151=""),"",IFERROR(D151/E151,""))</x:f>
      </x:c>
      <x:c r="L151" s="75" t="str">
        <x:f>IF(OR(F151="",C151=""),"",IFERROR(F151/C151*1000,""))</x:f>
      </x:c>
      <x:c r="M151" s="74" t="str">
        <x:f>IF(OR(H151="",G151=""),"",IFERROR(H151/G151,""))</x:f>
      </x:c>
      <x:c r="N151" s="74" t="str">
        <x:f>IF(OR(I151="",J151=""),"",IFERROR(I151/J151,""))</x:f>
      </x:c>
      <x:c r="O151" s="76" t="str">
        <x:f>IF(A151="","",TEXTJOIN("; ",TRUE,IF(C151&lt;=0,"Population missing/invalid",""),IF(E151&lt;=0,"TB estimated cases missing/invalid",""),IF(D151&gt;E151,"TB notified &gt; estimated incident cases",""),IF(F151&gt;C151,"Malaria cases &gt; population (review period/definition)",""),IF(G151&lt;=0,"PLHIV denominator missing/invalid",""),IF(H151&gt;G151,"ART count &gt; estimated PLHIV",""),IF(J151&lt;=0,"HIV population-at-risk missing/invalid",""),IF(I151&gt;J151,"New HIV infections &gt; population at risk","")))</x:f>
      </x:c>
    </x:row>
    <x:row r="152">
      <x:c r="A152" s="71"/>
      <x:c r="B152" s="72"/>
      <x:c r="C152" s="73"/>
      <x:c r="D152" s="73"/>
      <x:c r="E152" s="73"/>
      <x:c r="F152" s="73"/>
      <x:c r="G152" s="73"/>
      <x:c r="H152" s="73"/>
      <x:c r="I152" s="73"/>
      <x:c r="J152" s="73"/>
      <x:c r="K152" s="74" t="str">
        <x:f>IF(OR(D152="",E152=""),"",IFERROR(D152/E152,""))</x:f>
      </x:c>
      <x:c r="L152" s="75" t="str">
        <x:f>IF(OR(F152="",C152=""),"",IFERROR(F152/C152*1000,""))</x:f>
      </x:c>
      <x:c r="M152" s="74" t="str">
        <x:f>IF(OR(H152="",G152=""),"",IFERROR(H152/G152,""))</x:f>
      </x:c>
      <x:c r="N152" s="74" t="str">
        <x:f>IF(OR(I152="",J152=""),"",IFERROR(I152/J152,""))</x:f>
      </x:c>
      <x:c r="O152" s="76" t="str">
        <x:f>IF(A152="","",TEXTJOIN("; ",TRUE,IF(C152&lt;=0,"Population missing/invalid",""),IF(E152&lt;=0,"TB estimated cases missing/invalid",""),IF(D152&gt;E152,"TB notified &gt; estimated incident cases",""),IF(F152&gt;C152,"Malaria cases &gt; population (review period/definition)",""),IF(G152&lt;=0,"PLHIV denominator missing/invalid",""),IF(H152&gt;G152,"ART count &gt; estimated PLHIV",""),IF(J152&lt;=0,"HIV population-at-risk missing/invalid",""),IF(I152&gt;J152,"New HIV infections &gt; population at risk","")))</x:f>
      </x:c>
    </x:row>
    <x:row r="153">
      <x:c r="A153" s="71"/>
      <x:c r="B153" s="72"/>
      <x:c r="C153" s="73"/>
      <x:c r="D153" s="73"/>
      <x:c r="E153" s="73"/>
      <x:c r="F153" s="73"/>
      <x:c r="G153" s="73"/>
      <x:c r="H153" s="73"/>
      <x:c r="I153" s="73"/>
      <x:c r="J153" s="73"/>
      <x:c r="K153" s="74" t="str">
        <x:f>IF(OR(D153="",E153=""),"",IFERROR(D153/E153,""))</x:f>
      </x:c>
      <x:c r="L153" s="75" t="str">
        <x:f>IF(OR(F153="",C153=""),"",IFERROR(F153/C153*1000,""))</x:f>
      </x:c>
      <x:c r="M153" s="74" t="str">
        <x:f>IF(OR(H153="",G153=""),"",IFERROR(H153/G153,""))</x:f>
      </x:c>
      <x:c r="N153" s="74" t="str">
        <x:f>IF(OR(I153="",J153=""),"",IFERROR(I153/J153,""))</x:f>
      </x:c>
      <x:c r="O153" s="76" t="str">
        <x:f>IF(A153="","",TEXTJOIN("; ",TRUE,IF(C153&lt;=0,"Population missing/invalid",""),IF(E153&lt;=0,"TB estimated cases missing/invalid",""),IF(D153&gt;E153,"TB notified &gt; estimated incident cases",""),IF(F153&gt;C153,"Malaria cases &gt; population (review period/definition)",""),IF(G153&lt;=0,"PLHIV denominator missing/invalid",""),IF(H153&gt;G153,"ART count &gt; estimated PLHIV",""),IF(J153&lt;=0,"HIV population-at-risk missing/invalid",""),IF(I153&gt;J153,"New HIV infections &gt; population at risk","")))</x:f>
      </x:c>
    </x:row>
    <x:row r="154">
      <x:c r="A154" s="71"/>
      <x:c r="B154" s="72"/>
      <x:c r="C154" s="73"/>
      <x:c r="D154" s="73"/>
      <x:c r="E154" s="73"/>
      <x:c r="F154" s="73"/>
      <x:c r="G154" s="73"/>
      <x:c r="H154" s="73"/>
      <x:c r="I154" s="73"/>
      <x:c r="J154" s="73"/>
      <x:c r="K154" s="74" t="str">
        <x:f>IF(OR(D154="",E154=""),"",IFERROR(D154/E154,""))</x:f>
      </x:c>
      <x:c r="L154" s="75" t="str">
        <x:f>IF(OR(F154="",C154=""),"",IFERROR(F154/C154*1000,""))</x:f>
      </x:c>
      <x:c r="M154" s="74" t="str">
        <x:f>IF(OR(H154="",G154=""),"",IFERROR(H154/G154,""))</x:f>
      </x:c>
      <x:c r="N154" s="74" t="str">
        <x:f>IF(OR(I154="",J154=""),"",IFERROR(I154/J154,""))</x:f>
      </x:c>
      <x:c r="O154" s="76" t="str">
        <x:f>IF(A154="","",TEXTJOIN("; ",TRUE,IF(C154&lt;=0,"Population missing/invalid",""),IF(E154&lt;=0,"TB estimated cases missing/invalid",""),IF(D154&gt;E154,"TB notified &gt; estimated incident cases",""),IF(F154&gt;C154,"Malaria cases &gt; population (review period/definition)",""),IF(G154&lt;=0,"PLHIV denominator missing/invalid",""),IF(H154&gt;G154,"ART count &gt; estimated PLHIV",""),IF(J154&lt;=0,"HIV population-at-risk missing/invalid",""),IF(I154&gt;J154,"New HIV infections &gt; population at risk","")))</x:f>
      </x:c>
    </x:row>
    <x:row r="155">
      <x:c r="A155" s="71"/>
      <x:c r="B155" s="72"/>
      <x:c r="C155" s="73"/>
      <x:c r="D155" s="73"/>
      <x:c r="E155" s="73"/>
      <x:c r="F155" s="73"/>
      <x:c r="G155" s="73"/>
      <x:c r="H155" s="73"/>
      <x:c r="I155" s="73"/>
      <x:c r="J155" s="73"/>
      <x:c r="K155" s="74" t="str">
        <x:f>IF(OR(D155="",E155=""),"",IFERROR(D155/E155,""))</x:f>
      </x:c>
      <x:c r="L155" s="75" t="str">
        <x:f>IF(OR(F155="",C155=""),"",IFERROR(F155/C155*1000,""))</x:f>
      </x:c>
      <x:c r="M155" s="74" t="str">
        <x:f>IF(OR(H155="",G155=""),"",IFERROR(H155/G155,""))</x:f>
      </x:c>
      <x:c r="N155" s="74" t="str">
        <x:f>IF(OR(I155="",J155=""),"",IFERROR(I155/J155,""))</x:f>
      </x:c>
      <x:c r="O155" s="76" t="str">
        <x:f>IF(A155="","",TEXTJOIN("; ",TRUE,IF(C155&lt;=0,"Population missing/invalid",""),IF(E155&lt;=0,"TB estimated cases missing/invalid",""),IF(D155&gt;E155,"TB notified &gt; estimated incident cases",""),IF(F155&gt;C155,"Malaria cases &gt; population (review period/definition)",""),IF(G155&lt;=0,"PLHIV denominator missing/invalid",""),IF(H155&gt;G155,"ART count &gt; estimated PLHIV",""),IF(J155&lt;=0,"HIV population-at-risk missing/invalid",""),IF(I155&gt;J155,"New HIV infections &gt; population at risk","")))</x:f>
      </x:c>
    </x:row>
    <x:row r="156">
      <x:c r="A156" s="71"/>
      <x:c r="B156" s="72"/>
      <x:c r="C156" s="73"/>
      <x:c r="D156" s="73"/>
      <x:c r="E156" s="73"/>
      <x:c r="F156" s="73"/>
      <x:c r="G156" s="73"/>
      <x:c r="H156" s="73"/>
      <x:c r="I156" s="73"/>
      <x:c r="J156" s="73"/>
      <x:c r="K156" s="74" t="str">
        <x:f>IF(OR(D156="",E156=""),"",IFERROR(D156/E156,""))</x:f>
      </x:c>
      <x:c r="L156" s="75" t="str">
        <x:f>IF(OR(F156="",C156=""),"",IFERROR(F156/C156*1000,""))</x:f>
      </x:c>
      <x:c r="M156" s="74" t="str">
        <x:f>IF(OR(H156="",G156=""),"",IFERROR(H156/G156,""))</x:f>
      </x:c>
      <x:c r="N156" s="74" t="str">
        <x:f>IF(OR(I156="",J156=""),"",IFERROR(I156/J156,""))</x:f>
      </x:c>
      <x:c r="O156" s="76" t="str">
        <x:f>IF(A156="","",TEXTJOIN("; ",TRUE,IF(C156&lt;=0,"Population missing/invalid",""),IF(E156&lt;=0,"TB estimated cases missing/invalid",""),IF(D156&gt;E156,"TB notified &gt; estimated incident cases",""),IF(F156&gt;C156,"Malaria cases &gt; population (review period/definition)",""),IF(G156&lt;=0,"PLHIV denominator missing/invalid",""),IF(H156&gt;G156,"ART count &gt; estimated PLHIV",""),IF(J156&lt;=0,"HIV population-at-risk missing/invalid",""),IF(I156&gt;J156,"New HIV infections &gt; population at risk","")))</x:f>
      </x:c>
    </x:row>
    <x:row r="157">
      <x:c r="A157" s="71"/>
      <x:c r="B157" s="72"/>
      <x:c r="C157" s="73"/>
      <x:c r="D157" s="73"/>
      <x:c r="E157" s="73"/>
      <x:c r="F157" s="73"/>
      <x:c r="G157" s="73"/>
      <x:c r="H157" s="73"/>
      <x:c r="I157" s="73"/>
      <x:c r="J157" s="73"/>
      <x:c r="K157" s="74" t="str">
        <x:f>IF(OR(D157="",E157=""),"",IFERROR(D157/E157,""))</x:f>
      </x:c>
      <x:c r="L157" s="75" t="str">
        <x:f>IF(OR(F157="",C157=""),"",IFERROR(F157/C157*1000,""))</x:f>
      </x:c>
      <x:c r="M157" s="74" t="str">
        <x:f>IF(OR(H157="",G157=""),"",IFERROR(H157/G157,""))</x:f>
      </x:c>
      <x:c r="N157" s="74" t="str">
        <x:f>IF(OR(I157="",J157=""),"",IFERROR(I157/J157,""))</x:f>
      </x:c>
      <x:c r="O157" s="76" t="str">
        <x:f>IF(A157="","",TEXTJOIN("; ",TRUE,IF(C157&lt;=0,"Population missing/invalid",""),IF(E157&lt;=0,"TB estimated cases missing/invalid",""),IF(D157&gt;E157,"TB notified &gt; estimated incident cases",""),IF(F157&gt;C157,"Malaria cases &gt; population (review period/definition)",""),IF(G157&lt;=0,"PLHIV denominator missing/invalid",""),IF(H157&gt;G157,"ART count &gt; estimated PLHIV",""),IF(J157&lt;=0,"HIV population-at-risk missing/invalid",""),IF(I157&gt;J157,"New HIV infections &gt; population at risk","")))</x:f>
      </x:c>
    </x:row>
    <x:row r="158">
      <x:c r="A158" s="71"/>
      <x:c r="B158" s="72"/>
      <x:c r="C158" s="73"/>
      <x:c r="D158" s="73"/>
      <x:c r="E158" s="73"/>
      <x:c r="F158" s="73"/>
      <x:c r="G158" s="73"/>
      <x:c r="H158" s="73"/>
      <x:c r="I158" s="73"/>
      <x:c r="J158" s="73"/>
      <x:c r="K158" s="74" t="str">
        <x:f>IF(OR(D158="",E158=""),"",IFERROR(D158/E158,""))</x:f>
      </x:c>
      <x:c r="L158" s="75" t="str">
        <x:f>IF(OR(F158="",C158=""),"",IFERROR(F158/C158*1000,""))</x:f>
      </x:c>
      <x:c r="M158" s="74" t="str">
        <x:f>IF(OR(H158="",G158=""),"",IFERROR(H158/G158,""))</x:f>
      </x:c>
      <x:c r="N158" s="74" t="str">
        <x:f>IF(OR(I158="",J158=""),"",IFERROR(I158/J158,""))</x:f>
      </x:c>
      <x:c r="O158" s="76" t="str">
        <x:f>IF(A158="","",TEXTJOIN("; ",TRUE,IF(C158&lt;=0,"Population missing/invalid",""),IF(E158&lt;=0,"TB estimated cases missing/invalid",""),IF(D158&gt;E158,"TB notified &gt; estimated incident cases",""),IF(F158&gt;C158,"Malaria cases &gt; population (review period/definition)",""),IF(G158&lt;=0,"PLHIV denominator missing/invalid",""),IF(H158&gt;G158,"ART count &gt; estimated PLHIV",""),IF(J158&lt;=0,"HIV population-at-risk missing/invalid",""),IF(I158&gt;J158,"New HIV infections &gt; population at risk","")))</x:f>
      </x:c>
    </x:row>
    <x:row r="159">
      <x:c r="A159" s="71"/>
      <x:c r="B159" s="72"/>
      <x:c r="C159" s="73"/>
      <x:c r="D159" s="73"/>
      <x:c r="E159" s="73"/>
      <x:c r="F159" s="73"/>
      <x:c r="G159" s="73"/>
      <x:c r="H159" s="73"/>
      <x:c r="I159" s="73"/>
      <x:c r="J159" s="73"/>
      <x:c r="K159" s="74" t="str">
        <x:f>IF(OR(D159="",E159=""),"",IFERROR(D159/E159,""))</x:f>
      </x:c>
      <x:c r="L159" s="75" t="str">
        <x:f>IF(OR(F159="",C159=""),"",IFERROR(F159/C159*1000,""))</x:f>
      </x:c>
      <x:c r="M159" s="74" t="str">
        <x:f>IF(OR(H159="",G159=""),"",IFERROR(H159/G159,""))</x:f>
      </x:c>
      <x:c r="N159" s="74" t="str">
        <x:f>IF(OR(I159="",J159=""),"",IFERROR(I159/J159,""))</x:f>
      </x:c>
      <x:c r="O159" s="76" t="str">
        <x:f>IF(A159="","",TEXTJOIN("; ",TRUE,IF(C159&lt;=0,"Population missing/invalid",""),IF(E159&lt;=0,"TB estimated cases missing/invalid",""),IF(D159&gt;E159,"TB notified &gt; estimated incident cases",""),IF(F159&gt;C159,"Malaria cases &gt; population (review period/definition)",""),IF(G159&lt;=0,"PLHIV denominator missing/invalid",""),IF(H159&gt;G159,"ART count &gt; estimated PLHIV",""),IF(J159&lt;=0,"HIV population-at-risk missing/invalid",""),IF(I159&gt;J159,"New HIV infections &gt; population at risk","")))</x:f>
      </x:c>
    </x:row>
    <x:row r="160">
      <x:c r="A160" s="71"/>
      <x:c r="B160" s="72"/>
      <x:c r="C160" s="73"/>
      <x:c r="D160" s="73"/>
      <x:c r="E160" s="73"/>
      <x:c r="F160" s="73"/>
      <x:c r="G160" s="73"/>
      <x:c r="H160" s="73"/>
      <x:c r="I160" s="73"/>
      <x:c r="J160" s="73"/>
      <x:c r="K160" s="74" t="str">
        <x:f>IF(OR(D160="",E160=""),"",IFERROR(D160/E160,""))</x:f>
      </x:c>
      <x:c r="L160" s="75" t="str">
        <x:f>IF(OR(F160="",C160=""),"",IFERROR(F160/C160*1000,""))</x:f>
      </x:c>
      <x:c r="M160" s="74" t="str">
        <x:f>IF(OR(H160="",G160=""),"",IFERROR(H160/G160,""))</x:f>
      </x:c>
      <x:c r="N160" s="74" t="str">
        <x:f>IF(OR(I160="",J160=""),"",IFERROR(I160/J160,""))</x:f>
      </x:c>
      <x:c r="O160" s="76" t="str">
        <x:f>IF(A160="","",TEXTJOIN("; ",TRUE,IF(C160&lt;=0,"Population missing/invalid",""),IF(E160&lt;=0,"TB estimated cases missing/invalid",""),IF(D160&gt;E160,"TB notified &gt; estimated incident cases",""),IF(F160&gt;C160,"Malaria cases &gt; population (review period/definition)",""),IF(G160&lt;=0,"PLHIV denominator missing/invalid",""),IF(H160&gt;G160,"ART count &gt; estimated PLHIV",""),IF(J160&lt;=0,"HIV population-at-risk missing/invalid",""),IF(I160&gt;J160,"New HIV infections &gt; population at risk","")))</x:f>
      </x:c>
    </x:row>
    <x:row r="161">
      <x:c r="A161" s="71"/>
      <x:c r="B161" s="72"/>
      <x:c r="C161" s="73"/>
      <x:c r="D161" s="73"/>
      <x:c r="E161" s="73"/>
      <x:c r="F161" s="73"/>
      <x:c r="G161" s="73"/>
      <x:c r="H161" s="73"/>
      <x:c r="I161" s="73"/>
      <x:c r="J161" s="73"/>
      <x:c r="K161" s="74" t="str">
        <x:f>IF(OR(D161="",E161=""),"",IFERROR(D161/E161,""))</x:f>
      </x:c>
      <x:c r="L161" s="75" t="str">
        <x:f>IF(OR(F161="",C161=""),"",IFERROR(F161/C161*1000,""))</x:f>
      </x:c>
      <x:c r="M161" s="74" t="str">
        <x:f>IF(OR(H161="",G161=""),"",IFERROR(H161/G161,""))</x:f>
      </x:c>
      <x:c r="N161" s="74" t="str">
        <x:f>IF(OR(I161="",J161=""),"",IFERROR(I161/J161,""))</x:f>
      </x:c>
      <x:c r="O161" s="76" t="str">
        <x:f>IF(A161="","",TEXTJOIN("; ",TRUE,IF(C161&lt;=0,"Population missing/invalid",""),IF(E161&lt;=0,"TB estimated cases missing/invalid",""),IF(D161&gt;E161,"TB notified &gt; estimated incident cases",""),IF(F161&gt;C161,"Malaria cases &gt; population (review period/definition)",""),IF(G161&lt;=0,"PLHIV denominator missing/invalid",""),IF(H161&gt;G161,"ART count &gt; estimated PLHIV",""),IF(J161&lt;=0,"HIV population-at-risk missing/invalid",""),IF(I161&gt;J161,"New HIV infections &gt; population at risk","")))</x:f>
      </x:c>
    </x:row>
    <x:row r="162">
      <x:c r="A162" s="71"/>
      <x:c r="B162" s="72"/>
      <x:c r="C162" s="73"/>
      <x:c r="D162" s="73"/>
      <x:c r="E162" s="73"/>
      <x:c r="F162" s="73"/>
      <x:c r="G162" s="73"/>
      <x:c r="H162" s="73"/>
      <x:c r="I162" s="73"/>
      <x:c r="J162" s="73"/>
      <x:c r="K162" s="74" t="str">
        <x:f>IF(OR(D162="",E162=""),"",IFERROR(D162/E162,""))</x:f>
      </x:c>
      <x:c r="L162" s="75" t="str">
        <x:f>IF(OR(F162="",C162=""),"",IFERROR(F162/C162*1000,""))</x:f>
      </x:c>
      <x:c r="M162" s="74" t="str">
        <x:f>IF(OR(H162="",G162=""),"",IFERROR(H162/G162,""))</x:f>
      </x:c>
      <x:c r="N162" s="74" t="str">
        <x:f>IF(OR(I162="",J162=""),"",IFERROR(I162/J162,""))</x:f>
      </x:c>
      <x:c r="O162" s="76" t="str">
        <x:f>IF(A162="","",TEXTJOIN("; ",TRUE,IF(C162&lt;=0,"Population missing/invalid",""),IF(E162&lt;=0,"TB estimated cases missing/invalid",""),IF(D162&gt;E162,"TB notified &gt; estimated incident cases",""),IF(F162&gt;C162,"Malaria cases &gt; population (review period/definition)",""),IF(G162&lt;=0,"PLHIV denominator missing/invalid",""),IF(H162&gt;G162,"ART count &gt; estimated PLHIV",""),IF(J162&lt;=0,"HIV population-at-risk missing/invalid",""),IF(I162&gt;J162,"New HIV infections &gt; population at risk","")))</x:f>
      </x:c>
    </x:row>
    <x:row r="163">
      <x:c r="A163" s="71"/>
      <x:c r="B163" s="72"/>
      <x:c r="C163" s="73"/>
      <x:c r="D163" s="73"/>
      <x:c r="E163" s="73"/>
      <x:c r="F163" s="73"/>
      <x:c r="G163" s="73"/>
      <x:c r="H163" s="73"/>
      <x:c r="I163" s="73"/>
      <x:c r="J163" s="73"/>
      <x:c r="K163" s="74" t="str">
        <x:f>IF(OR(D163="",E163=""),"",IFERROR(D163/E163,""))</x:f>
      </x:c>
      <x:c r="L163" s="75" t="str">
        <x:f>IF(OR(F163="",C163=""),"",IFERROR(F163/C163*1000,""))</x:f>
      </x:c>
      <x:c r="M163" s="74" t="str">
        <x:f>IF(OR(H163="",G163=""),"",IFERROR(H163/G163,""))</x:f>
      </x:c>
      <x:c r="N163" s="74" t="str">
        <x:f>IF(OR(I163="",J163=""),"",IFERROR(I163/J163,""))</x:f>
      </x:c>
      <x:c r="O163" s="76" t="str">
        <x:f>IF(A163="","",TEXTJOIN("; ",TRUE,IF(C163&lt;=0,"Population missing/invalid",""),IF(E163&lt;=0,"TB estimated cases missing/invalid",""),IF(D163&gt;E163,"TB notified &gt; estimated incident cases",""),IF(F163&gt;C163,"Malaria cases &gt; population (review period/definition)",""),IF(G163&lt;=0,"PLHIV denominator missing/invalid",""),IF(H163&gt;G163,"ART count &gt; estimated PLHIV",""),IF(J163&lt;=0,"HIV population-at-risk missing/invalid",""),IF(I163&gt;J163,"New HIV infections &gt; population at risk","")))</x:f>
      </x:c>
    </x:row>
    <x:row r="164">
      <x:c r="A164" s="71"/>
      <x:c r="B164" s="72"/>
      <x:c r="C164" s="73"/>
      <x:c r="D164" s="73"/>
      <x:c r="E164" s="73"/>
      <x:c r="F164" s="73"/>
      <x:c r="G164" s="73"/>
      <x:c r="H164" s="73"/>
      <x:c r="I164" s="73"/>
      <x:c r="J164" s="73"/>
      <x:c r="K164" s="74" t="str">
        <x:f>IF(OR(D164="",E164=""),"",IFERROR(D164/E164,""))</x:f>
      </x:c>
      <x:c r="L164" s="75" t="str">
        <x:f>IF(OR(F164="",C164=""),"",IFERROR(F164/C164*1000,""))</x:f>
      </x:c>
      <x:c r="M164" s="74" t="str">
        <x:f>IF(OR(H164="",G164=""),"",IFERROR(H164/G164,""))</x:f>
      </x:c>
      <x:c r="N164" s="74" t="str">
        <x:f>IF(OR(I164="",J164=""),"",IFERROR(I164/J164,""))</x:f>
      </x:c>
      <x:c r="O164" s="76" t="str">
        <x:f>IF(A164="","",TEXTJOIN("; ",TRUE,IF(C164&lt;=0,"Population missing/invalid",""),IF(E164&lt;=0,"TB estimated cases missing/invalid",""),IF(D164&gt;E164,"TB notified &gt; estimated incident cases",""),IF(F164&gt;C164,"Malaria cases &gt; population (review period/definition)",""),IF(G164&lt;=0,"PLHIV denominator missing/invalid",""),IF(H164&gt;G164,"ART count &gt; estimated PLHIV",""),IF(J164&lt;=0,"HIV population-at-risk missing/invalid",""),IF(I164&gt;J164,"New HIV infections &gt; population at risk","")))</x:f>
      </x:c>
    </x:row>
    <x:row r="165">
      <x:c r="A165" s="71"/>
      <x:c r="B165" s="72"/>
      <x:c r="C165" s="73"/>
      <x:c r="D165" s="73"/>
      <x:c r="E165" s="73"/>
      <x:c r="F165" s="73"/>
      <x:c r="G165" s="73"/>
      <x:c r="H165" s="73"/>
      <x:c r="I165" s="73"/>
      <x:c r="J165" s="73"/>
      <x:c r="K165" s="74" t="str">
        <x:f>IF(OR(D165="",E165=""),"",IFERROR(D165/E165,""))</x:f>
      </x:c>
      <x:c r="L165" s="75" t="str">
        <x:f>IF(OR(F165="",C165=""),"",IFERROR(F165/C165*1000,""))</x:f>
      </x:c>
      <x:c r="M165" s="74" t="str">
        <x:f>IF(OR(H165="",G165=""),"",IFERROR(H165/G165,""))</x:f>
      </x:c>
      <x:c r="N165" s="74" t="str">
        <x:f>IF(OR(I165="",J165=""),"",IFERROR(I165/J165,""))</x:f>
      </x:c>
      <x:c r="O165" s="76" t="str">
        <x:f>IF(A165="","",TEXTJOIN("; ",TRUE,IF(C165&lt;=0,"Population missing/invalid",""),IF(E165&lt;=0,"TB estimated cases missing/invalid",""),IF(D165&gt;E165,"TB notified &gt; estimated incident cases",""),IF(F165&gt;C165,"Malaria cases &gt; population (review period/definition)",""),IF(G165&lt;=0,"PLHIV denominator missing/invalid",""),IF(H165&gt;G165,"ART count &gt; estimated PLHIV",""),IF(J165&lt;=0,"HIV population-at-risk missing/invalid",""),IF(I165&gt;J165,"New HIV infections &gt; population at risk","")))</x:f>
      </x:c>
    </x:row>
    <x:row r="166">
      <x:c r="A166" s="71"/>
      <x:c r="B166" s="72"/>
      <x:c r="C166" s="73"/>
      <x:c r="D166" s="73"/>
      <x:c r="E166" s="73"/>
      <x:c r="F166" s="73"/>
      <x:c r="G166" s="73"/>
      <x:c r="H166" s="73"/>
      <x:c r="I166" s="73"/>
      <x:c r="J166" s="73"/>
      <x:c r="K166" s="74" t="str">
        <x:f>IF(OR(D166="",E166=""),"",IFERROR(D166/E166,""))</x:f>
      </x:c>
      <x:c r="L166" s="75" t="str">
        <x:f>IF(OR(F166="",C166=""),"",IFERROR(F166/C166*1000,""))</x:f>
      </x:c>
      <x:c r="M166" s="74" t="str">
        <x:f>IF(OR(H166="",G166=""),"",IFERROR(H166/G166,""))</x:f>
      </x:c>
      <x:c r="N166" s="74" t="str">
        <x:f>IF(OR(I166="",J166=""),"",IFERROR(I166/J166,""))</x:f>
      </x:c>
      <x:c r="O166" s="76" t="str">
        <x:f>IF(A166="","",TEXTJOIN("; ",TRUE,IF(C166&lt;=0,"Population missing/invalid",""),IF(E166&lt;=0,"TB estimated cases missing/invalid",""),IF(D166&gt;E166,"TB notified &gt; estimated incident cases",""),IF(F166&gt;C166,"Malaria cases &gt; population (review period/definition)",""),IF(G166&lt;=0,"PLHIV denominator missing/invalid",""),IF(H166&gt;G166,"ART count &gt; estimated PLHIV",""),IF(J166&lt;=0,"HIV population-at-risk missing/invalid",""),IF(I166&gt;J166,"New HIV infections &gt; population at risk","")))</x:f>
      </x:c>
    </x:row>
    <x:row r="167">
      <x:c r="A167" s="71"/>
      <x:c r="B167" s="72"/>
      <x:c r="C167" s="73"/>
      <x:c r="D167" s="73"/>
      <x:c r="E167" s="73"/>
      <x:c r="F167" s="73"/>
      <x:c r="G167" s="73"/>
      <x:c r="H167" s="73"/>
      <x:c r="I167" s="73"/>
      <x:c r="J167" s="73"/>
      <x:c r="K167" s="74" t="str">
        <x:f>IF(OR(D167="",E167=""),"",IFERROR(D167/E167,""))</x:f>
      </x:c>
      <x:c r="L167" s="75" t="str">
        <x:f>IF(OR(F167="",C167=""),"",IFERROR(F167/C167*1000,""))</x:f>
      </x:c>
      <x:c r="M167" s="74" t="str">
        <x:f>IF(OR(H167="",G167=""),"",IFERROR(H167/G167,""))</x:f>
      </x:c>
      <x:c r="N167" s="74" t="str">
        <x:f>IF(OR(I167="",J167=""),"",IFERROR(I167/J167,""))</x:f>
      </x:c>
      <x:c r="O167" s="76" t="str">
        <x:f>IF(A167="","",TEXTJOIN("; ",TRUE,IF(C167&lt;=0,"Population missing/invalid",""),IF(E167&lt;=0,"TB estimated cases missing/invalid",""),IF(D167&gt;E167,"TB notified &gt; estimated incident cases",""),IF(F167&gt;C167,"Malaria cases &gt; population (review period/definition)",""),IF(G167&lt;=0,"PLHIV denominator missing/invalid",""),IF(H167&gt;G167,"ART count &gt; estimated PLHIV",""),IF(J167&lt;=0,"HIV population-at-risk missing/invalid",""),IF(I167&gt;J167,"New HIV infections &gt; population at risk","")))</x:f>
      </x:c>
    </x:row>
    <x:row r="168">
      <x:c r="A168" s="71"/>
      <x:c r="B168" s="72"/>
      <x:c r="C168" s="73"/>
      <x:c r="D168" s="73"/>
      <x:c r="E168" s="73"/>
      <x:c r="F168" s="73"/>
      <x:c r="G168" s="73"/>
      <x:c r="H168" s="73"/>
      <x:c r="I168" s="73"/>
      <x:c r="J168" s="73"/>
      <x:c r="K168" s="74" t="str">
        <x:f>IF(OR(D168="",E168=""),"",IFERROR(D168/E168,""))</x:f>
      </x:c>
      <x:c r="L168" s="75" t="str">
        <x:f>IF(OR(F168="",C168=""),"",IFERROR(F168/C168*1000,""))</x:f>
      </x:c>
      <x:c r="M168" s="74" t="str">
        <x:f>IF(OR(H168="",G168=""),"",IFERROR(H168/G168,""))</x:f>
      </x:c>
      <x:c r="N168" s="74" t="str">
        <x:f>IF(OR(I168="",J168=""),"",IFERROR(I168/J168,""))</x:f>
      </x:c>
      <x:c r="O168" s="76" t="str">
        <x:f>IF(A168="","",TEXTJOIN("; ",TRUE,IF(C168&lt;=0,"Population missing/invalid",""),IF(E168&lt;=0,"TB estimated cases missing/invalid",""),IF(D168&gt;E168,"TB notified &gt; estimated incident cases",""),IF(F168&gt;C168,"Malaria cases &gt; population (review period/definition)",""),IF(G168&lt;=0,"PLHIV denominator missing/invalid",""),IF(H168&gt;G168,"ART count &gt; estimated PLHIV",""),IF(J168&lt;=0,"HIV population-at-risk missing/invalid",""),IF(I168&gt;J168,"New HIV infections &gt; population at risk","")))</x:f>
      </x:c>
    </x:row>
    <x:row r="169">
      <x:c r="A169" s="71"/>
      <x:c r="B169" s="72"/>
      <x:c r="C169" s="73"/>
      <x:c r="D169" s="73"/>
      <x:c r="E169" s="73"/>
      <x:c r="F169" s="73"/>
      <x:c r="G169" s="73"/>
      <x:c r="H169" s="73"/>
      <x:c r="I169" s="73"/>
      <x:c r="J169" s="73"/>
      <x:c r="K169" s="74" t="str">
        <x:f>IF(OR(D169="",E169=""),"",IFERROR(D169/E169,""))</x:f>
      </x:c>
      <x:c r="L169" s="75" t="str">
        <x:f>IF(OR(F169="",C169=""),"",IFERROR(F169/C169*1000,""))</x:f>
      </x:c>
      <x:c r="M169" s="74" t="str">
        <x:f>IF(OR(H169="",G169=""),"",IFERROR(H169/G169,""))</x:f>
      </x:c>
      <x:c r="N169" s="74" t="str">
        <x:f>IF(OR(I169="",J169=""),"",IFERROR(I169/J169,""))</x:f>
      </x:c>
      <x:c r="O169" s="76" t="str">
        <x:f>IF(A169="","",TEXTJOIN("; ",TRUE,IF(C169&lt;=0,"Population missing/invalid",""),IF(E169&lt;=0,"TB estimated cases missing/invalid",""),IF(D169&gt;E169,"TB notified &gt; estimated incident cases",""),IF(F169&gt;C169,"Malaria cases &gt; population (review period/definition)",""),IF(G169&lt;=0,"PLHIV denominator missing/invalid",""),IF(H169&gt;G169,"ART count &gt; estimated PLHIV",""),IF(J169&lt;=0,"HIV population-at-risk missing/invalid",""),IF(I169&gt;J169,"New HIV infections &gt; population at risk","")))</x:f>
      </x:c>
    </x:row>
    <x:row r="170">
      <x:c r="A170" s="71"/>
      <x:c r="B170" s="72"/>
      <x:c r="C170" s="73"/>
      <x:c r="D170" s="73"/>
      <x:c r="E170" s="73"/>
      <x:c r="F170" s="73"/>
      <x:c r="G170" s="73"/>
      <x:c r="H170" s="73"/>
      <x:c r="I170" s="73"/>
      <x:c r="J170" s="73"/>
      <x:c r="K170" s="74" t="str">
        <x:f>IF(OR(D170="",E170=""),"",IFERROR(D170/E170,""))</x:f>
      </x:c>
      <x:c r="L170" s="75" t="str">
        <x:f>IF(OR(F170="",C170=""),"",IFERROR(F170/C170*1000,""))</x:f>
      </x:c>
      <x:c r="M170" s="74" t="str">
        <x:f>IF(OR(H170="",G170=""),"",IFERROR(H170/G170,""))</x:f>
      </x:c>
      <x:c r="N170" s="74" t="str">
        <x:f>IF(OR(I170="",J170=""),"",IFERROR(I170/J170,""))</x:f>
      </x:c>
      <x:c r="O170" s="76" t="str">
        <x:f>IF(A170="","",TEXTJOIN("; ",TRUE,IF(C170&lt;=0,"Population missing/invalid",""),IF(E170&lt;=0,"TB estimated cases missing/invalid",""),IF(D170&gt;E170,"TB notified &gt; estimated incident cases",""),IF(F170&gt;C170,"Malaria cases &gt; population (review period/definition)",""),IF(G170&lt;=0,"PLHIV denominator missing/invalid",""),IF(H170&gt;G170,"ART count &gt; estimated PLHIV",""),IF(J170&lt;=0,"HIV population-at-risk missing/invalid",""),IF(I170&gt;J170,"New HIV infections &gt; population at risk","")))</x:f>
      </x:c>
    </x:row>
    <x:row r="171">
      <x:c r="A171" s="71"/>
      <x:c r="B171" s="72"/>
      <x:c r="C171" s="73"/>
      <x:c r="D171" s="73"/>
      <x:c r="E171" s="73"/>
      <x:c r="F171" s="73"/>
      <x:c r="G171" s="73"/>
      <x:c r="H171" s="73"/>
      <x:c r="I171" s="73"/>
      <x:c r="J171" s="73"/>
      <x:c r="K171" s="74" t="str">
        <x:f>IF(OR(D171="",E171=""),"",IFERROR(D171/E171,""))</x:f>
      </x:c>
      <x:c r="L171" s="75" t="str">
        <x:f>IF(OR(F171="",C171=""),"",IFERROR(F171/C171*1000,""))</x:f>
      </x:c>
      <x:c r="M171" s="74" t="str">
        <x:f>IF(OR(H171="",G171=""),"",IFERROR(H171/G171,""))</x:f>
      </x:c>
      <x:c r="N171" s="74" t="str">
        <x:f>IF(OR(I171="",J171=""),"",IFERROR(I171/J171,""))</x:f>
      </x:c>
      <x:c r="O171" s="76" t="str">
        <x:f>IF(A171="","",TEXTJOIN("; ",TRUE,IF(C171&lt;=0,"Population missing/invalid",""),IF(E171&lt;=0,"TB estimated cases missing/invalid",""),IF(D171&gt;E171,"TB notified &gt; estimated incident cases",""),IF(F171&gt;C171,"Malaria cases &gt; population (review period/definition)",""),IF(G171&lt;=0,"PLHIV denominator missing/invalid",""),IF(H171&gt;G171,"ART count &gt; estimated PLHIV",""),IF(J171&lt;=0,"HIV population-at-risk missing/invalid",""),IF(I171&gt;J171,"New HIV infections &gt; population at risk","")))</x:f>
      </x:c>
    </x:row>
    <x:row r="172">
      <x:c r="A172" s="71"/>
      <x:c r="B172" s="72"/>
      <x:c r="C172" s="73"/>
      <x:c r="D172" s="73"/>
      <x:c r="E172" s="73"/>
      <x:c r="F172" s="73"/>
      <x:c r="G172" s="73"/>
      <x:c r="H172" s="73"/>
      <x:c r="I172" s="73"/>
      <x:c r="J172" s="73"/>
      <x:c r="K172" s="74" t="str">
        <x:f>IF(OR(D172="",E172=""),"",IFERROR(D172/E172,""))</x:f>
      </x:c>
      <x:c r="L172" s="75" t="str">
        <x:f>IF(OR(F172="",C172=""),"",IFERROR(F172/C172*1000,""))</x:f>
      </x:c>
      <x:c r="M172" s="74" t="str">
        <x:f>IF(OR(H172="",G172=""),"",IFERROR(H172/G172,""))</x:f>
      </x:c>
      <x:c r="N172" s="74" t="str">
        <x:f>IF(OR(I172="",J172=""),"",IFERROR(I172/J172,""))</x:f>
      </x:c>
      <x:c r="O172" s="76" t="str">
        <x:f>IF(A172="","",TEXTJOIN("; ",TRUE,IF(C172&lt;=0,"Population missing/invalid",""),IF(E172&lt;=0,"TB estimated cases missing/invalid",""),IF(D172&gt;E172,"TB notified &gt; estimated incident cases",""),IF(F172&gt;C172,"Malaria cases &gt; population (review period/definition)",""),IF(G172&lt;=0,"PLHIV denominator missing/invalid",""),IF(H172&gt;G172,"ART count &gt; estimated PLHIV",""),IF(J172&lt;=0,"HIV population-at-risk missing/invalid",""),IF(I172&gt;J172,"New HIV infections &gt; population at risk","")))</x:f>
      </x:c>
    </x:row>
    <x:row r="173">
      <x:c r="A173" s="71"/>
      <x:c r="B173" s="72"/>
      <x:c r="C173" s="73"/>
      <x:c r="D173" s="73"/>
      <x:c r="E173" s="73"/>
      <x:c r="F173" s="73"/>
      <x:c r="G173" s="73"/>
      <x:c r="H173" s="73"/>
      <x:c r="I173" s="73"/>
      <x:c r="J173" s="73"/>
      <x:c r="K173" s="74" t="str">
        <x:f>IF(OR(D173="",E173=""),"",IFERROR(D173/E173,""))</x:f>
      </x:c>
      <x:c r="L173" s="75" t="str">
        <x:f>IF(OR(F173="",C173=""),"",IFERROR(F173/C173*1000,""))</x:f>
      </x:c>
      <x:c r="M173" s="74" t="str">
        <x:f>IF(OR(H173="",G173=""),"",IFERROR(H173/G173,""))</x:f>
      </x:c>
      <x:c r="N173" s="74" t="str">
        <x:f>IF(OR(I173="",J173=""),"",IFERROR(I173/J173,""))</x:f>
      </x:c>
      <x:c r="O173" s="76" t="str">
        <x:f>IF(A173="","",TEXTJOIN("; ",TRUE,IF(C173&lt;=0,"Population missing/invalid",""),IF(E173&lt;=0,"TB estimated cases missing/invalid",""),IF(D173&gt;E173,"TB notified &gt; estimated incident cases",""),IF(F173&gt;C173,"Malaria cases &gt; population (review period/definition)",""),IF(G173&lt;=0,"PLHIV denominator missing/invalid",""),IF(H173&gt;G173,"ART count &gt; estimated PLHIV",""),IF(J173&lt;=0,"HIV population-at-risk missing/invalid",""),IF(I173&gt;J173,"New HIV infections &gt; population at risk","")))</x:f>
      </x:c>
    </x:row>
    <x:row r="174">
      <x:c r="A174" s="71"/>
      <x:c r="B174" s="72"/>
      <x:c r="C174" s="73"/>
      <x:c r="D174" s="73"/>
      <x:c r="E174" s="73"/>
      <x:c r="F174" s="73"/>
      <x:c r="G174" s="73"/>
      <x:c r="H174" s="73"/>
      <x:c r="I174" s="73"/>
      <x:c r="J174" s="73"/>
      <x:c r="K174" s="74" t="str">
        <x:f>IF(OR(D174="",E174=""),"",IFERROR(D174/E174,""))</x:f>
      </x:c>
      <x:c r="L174" s="75" t="str">
        <x:f>IF(OR(F174="",C174=""),"",IFERROR(F174/C174*1000,""))</x:f>
      </x:c>
      <x:c r="M174" s="74" t="str">
        <x:f>IF(OR(H174="",G174=""),"",IFERROR(H174/G174,""))</x:f>
      </x:c>
      <x:c r="N174" s="74" t="str">
        <x:f>IF(OR(I174="",J174=""),"",IFERROR(I174/J174,""))</x:f>
      </x:c>
      <x:c r="O174" s="76" t="str">
        <x:f>IF(A174="","",TEXTJOIN("; ",TRUE,IF(C174&lt;=0,"Population missing/invalid",""),IF(E174&lt;=0,"TB estimated cases missing/invalid",""),IF(D174&gt;E174,"TB notified &gt; estimated incident cases",""),IF(F174&gt;C174,"Malaria cases &gt; population (review period/definition)",""),IF(G174&lt;=0,"PLHIV denominator missing/invalid",""),IF(H174&gt;G174,"ART count &gt; estimated PLHIV",""),IF(J174&lt;=0,"HIV population-at-risk missing/invalid",""),IF(I174&gt;J174,"New HIV infections &gt; population at risk","")))</x:f>
      </x:c>
    </x:row>
    <x:row r="175">
      <x:c r="A175" s="71"/>
      <x:c r="B175" s="72"/>
      <x:c r="C175" s="73"/>
      <x:c r="D175" s="73"/>
      <x:c r="E175" s="73"/>
      <x:c r="F175" s="73"/>
      <x:c r="G175" s="73"/>
      <x:c r="H175" s="73"/>
      <x:c r="I175" s="73"/>
      <x:c r="J175" s="73"/>
      <x:c r="K175" s="74" t="str">
        <x:f>IF(OR(D175="",E175=""),"",IFERROR(D175/E175,""))</x:f>
      </x:c>
      <x:c r="L175" s="75" t="str">
        <x:f>IF(OR(F175="",C175=""),"",IFERROR(F175/C175*1000,""))</x:f>
      </x:c>
      <x:c r="M175" s="74" t="str">
        <x:f>IF(OR(H175="",G175=""),"",IFERROR(H175/G175,""))</x:f>
      </x:c>
      <x:c r="N175" s="74" t="str">
        <x:f>IF(OR(I175="",J175=""),"",IFERROR(I175/J175,""))</x:f>
      </x:c>
      <x:c r="O175" s="76" t="str">
        <x:f>IF(A175="","",TEXTJOIN("; ",TRUE,IF(C175&lt;=0,"Population missing/invalid",""),IF(E175&lt;=0,"TB estimated cases missing/invalid",""),IF(D175&gt;E175,"TB notified &gt; estimated incident cases",""),IF(F175&gt;C175,"Malaria cases &gt; population (review period/definition)",""),IF(G175&lt;=0,"PLHIV denominator missing/invalid",""),IF(H175&gt;G175,"ART count &gt; estimated PLHIV",""),IF(J175&lt;=0,"HIV population-at-risk missing/invalid",""),IF(I175&gt;J175,"New HIV infections &gt; population at risk","")))</x:f>
      </x:c>
    </x:row>
    <x:row r="176">
      <x:c r="A176" s="71"/>
      <x:c r="B176" s="72"/>
      <x:c r="C176" s="73"/>
      <x:c r="D176" s="73"/>
      <x:c r="E176" s="73"/>
      <x:c r="F176" s="73"/>
      <x:c r="G176" s="73"/>
      <x:c r="H176" s="73"/>
      <x:c r="I176" s="73"/>
      <x:c r="J176" s="73"/>
      <x:c r="K176" s="74" t="str">
        <x:f>IF(OR(D176="",E176=""),"",IFERROR(D176/E176,""))</x:f>
      </x:c>
      <x:c r="L176" s="75" t="str">
        <x:f>IF(OR(F176="",C176=""),"",IFERROR(F176/C176*1000,""))</x:f>
      </x:c>
      <x:c r="M176" s="74" t="str">
        <x:f>IF(OR(H176="",G176=""),"",IFERROR(H176/G176,""))</x:f>
      </x:c>
      <x:c r="N176" s="74" t="str">
        <x:f>IF(OR(I176="",J176=""),"",IFERROR(I176/J176,""))</x:f>
      </x:c>
      <x:c r="O176" s="76" t="str">
        <x:f>IF(A176="","",TEXTJOIN("; ",TRUE,IF(C176&lt;=0,"Population missing/invalid",""),IF(E176&lt;=0,"TB estimated cases missing/invalid",""),IF(D176&gt;E176,"TB notified &gt; estimated incident cases",""),IF(F176&gt;C176,"Malaria cases &gt; population (review period/definition)",""),IF(G176&lt;=0,"PLHIV denominator missing/invalid",""),IF(H176&gt;G176,"ART count &gt; estimated PLHIV",""),IF(J176&lt;=0,"HIV population-at-risk missing/invalid",""),IF(I176&gt;J176,"New HIV infections &gt; population at risk","")))</x:f>
      </x:c>
    </x:row>
    <x:row r="177">
      <x:c r="A177" s="71"/>
      <x:c r="B177" s="72"/>
      <x:c r="C177" s="73"/>
      <x:c r="D177" s="73"/>
      <x:c r="E177" s="73"/>
      <x:c r="F177" s="73"/>
      <x:c r="G177" s="73"/>
      <x:c r="H177" s="73"/>
      <x:c r="I177" s="73"/>
      <x:c r="J177" s="73"/>
      <x:c r="K177" s="74" t="str">
        <x:f>IF(OR(D177="",E177=""),"",IFERROR(D177/E177,""))</x:f>
      </x:c>
      <x:c r="L177" s="75" t="str">
        <x:f>IF(OR(F177="",C177=""),"",IFERROR(F177/C177*1000,""))</x:f>
      </x:c>
      <x:c r="M177" s="74" t="str">
        <x:f>IF(OR(H177="",G177=""),"",IFERROR(H177/G177,""))</x:f>
      </x:c>
      <x:c r="N177" s="74" t="str">
        <x:f>IF(OR(I177="",J177=""),"",IFERROR(I177/J177,""))</x:f>
      </x:c>
      <x:c r="O177" s="76" t="str">
        <x:f>IF(A177="","",TEXTJOIN("; ",TRUE,IF(C177&lt;=0,"Population missing/invalid",""),IF(E177&lt;=0,"TB estimated cases missing/invalid",""),IF(D177&gt;E177,"TB notified &gt; estimated incident cases",""),IF(F177&gt;C177,"Malaria cases &gt; population (review period/definition)",""),IF(G177&lt;=0,"PLHIV denominator missing/invalid",""),IF(H177&gt;G177,"ART count &gt; estimated PLHIV",""),IF(J177&lt;=0,"HIV population-at-risk missing/invalid",""),IF(I177&gt;J177,"New HIV infections &gt; population at risk","")))</x:f>
      </x:c>
    </x:row>
    <x:row r="178">
      <x:c r="A178" s="71"/>
      <x:c r="B178" s="72"/>
      <x:c r="C178" s="73"/>
      <x:c r="D178" s="73"/>
      <x:c r="E178" s="73"/>
      <x:c r="F178" s="73"/>
      <x:c r="G178" s="73"/>
      <x:c r="H178" s="73"/>
      <x:c r="I178" s="73"/>
      <x:c r="J178" s="73"/>
      <x:c r="K178" s="74" t="str">
        <x:f>IF(OR(D178="",E178=""),"",IFERROR(D178/E178,""))</x:f>
      </x:c>
      <x:c r="L178" s="75" t="str">
        <x:f>IF(OR(F178="",C178=""),"",IFERROR(F178/C178*1000,""))</x:f>
      </x:c>
      <x:c r="M178" s="74" t="str">
        <x:f>IF(OR(H178="",G178=""),"",IFERROR(H178/G178,""))</x:f>
      </x:c>
      <x:c r="N178" s="74" t="str">
        <x:f>IF(OR(I178="",J178=""),"",IFERROR(I178/J178,""))</x:f>
      </x:c>
      <x:c r="O178" s="76" t="str">
        <x:f>IF(A178="","",TEXTJOIN("; ",TRUE,IF(C178&lt;=0,"Population missing/invalid",""),IF(E178&lt;=0,"TB estimated cases missing/invalid",""),IF(D178&gt;E178,"TB notified &gt; estimated incident cases",""),IF(F178&gt;C178,"Malaria cases &gt; population (review period/definition)",""),IF(G178&lt;=0,"PLHIV denominator missing/invalid",""),IF(H178&gt;G178,"ART count &gt; estimated PLHIV",""),IF(J178&lt;=0,"HIV population-at-risk missing/invalid",""),IF(I178&gt;J178,"New HIV infections &gt; population at risk","")))</x:f>
      </x:c>
    </x:row>
    <x:row r="179">
      <x:c r="A179" s="71"/>
      <x:c r="B179" s="72"/>
      <x:c r="C179" s="73"/>
      <x:c r="D179" s="73"/>
      <x:c r="E179" s="73"/>
      <x:c r="F179" s="73"/>
      <x:c r="G179" s="73"/>
      <x:c r="H179" s="73"/>
      <x:c r="I179" s="73"/>
      <x:c r="J179" s="73"/>
      <x:c r="K179" s="74" t="str">
        <x:f>IF(OR(D179="",E179=""),"",IFERROR(D179/E179,""))</x:f>
      </x:c>
      <x:c r="L179" s="75" t="str">
        <x:f>IF(OR(F179="",C179=""),"",IFERROR(F179/C179*1000,""))</x:f>
      </x:c>
      <x:c r="M179" s="74" t="str">
        <x:f>IF(OR(H179="",G179=""),"",IFERROR(H179/G179,""))</x:f>
      </x:c>
      <x:c r="N179" s="74" t="str">
        <x:f>IF(OR(I179="",J179=""),"",IFERROR(I179/J179,""))</x:f>
      </x:c>
      <x:c r="O179" s="76" t="str">
        <x:f>IF(A179="","",TEXTJOIN("; ",TRUE,IF(C179&lt;=0,"Population missing/invalid",""),IF(E179&lt;=0,"TB estimated cases missing/invalid",""),IF(D179&gt;E179,"TB notified &gt; estimated incident cases",""),IF(F179&gt;C179,"Malaria cases &gt; population (review period/definition)",""),IF(G179&lt;=0,"PLHIV denominator missing/invalid",""),IF(H179&gt;G179,"ART count &gt; estimated PLHIV",""),IF(J179&lt;=0,"HIV population-at-risk missing/invalid",""),IF(I179&gt;J179,"New HIV infections &gt; population at risk","")))</x:f>
      </x:c>
    </x:row>
    <x:row r="180">
      <x:c r="A180" s="71"/>
      <x:c r="B180" s="72"/>
      <x:c r="C180" s="73"/>
      <x:c r="D180" s="73"/>
      <x:c r="E180" s="73"/>
      <x:c r="F180" s="73"/>
      <x:c r="G180" s="73"/>
      <x:c r="H180" s="73"/>
      <x:c r="I180" s="73"/>
      <x:c r="J180" s="73"/>
      <x:c r="K180" s="74" t="str">
        <x:f>IF(OR(D180="",E180=""),"",IFERROR(D180/E180,""))</x:f>
      </x:c>
      <x:c r="L180" s="75" t="str">
        <x:f>IF(OR(F180="",C180=""),"",IFERROR(F180/C180*1000,""))</x:f>
      </x:c>
      <x:c r="M180" s="74" t="str">
        <x:f>IF(OR(H180="",G180=""),"",IFERROR(H180/G180,""))</x:f>
      </x:c>
      <x:c r="N180" s="74" t="str">
        <x:f>IF(OR(I180="",J180=""),"",IFERROR(I180/J180,""))</x:f>
      </x:c>
      <x:c r="O180" s="76" t="str">
        <x:f>IF(A180="","",TEXTJOIN("; ",TRUE,IF(C180&lt;=0,"Population missing/invalid",""),IF(E180&lt;=0,"TB estimated cases missing/invalid",""),IF(D180&gt;E180,"TB notified &gt; estimated incident cases",""),IF(F180&gt;C180,"Malaria cases &gt; population (review period/definition)",""),IF(G180&lt;=0,"PLHIV denominator missing/invalid",""),IF(H180&gt;G180,"ART count &gt; estimated PLHIV",""),IF(J180&lt;=0,"HIV population-at-risk missing/invalid",""),IF(I180&gt;J180,"New HIV infections &gt; population at risk","")))</x:f>
      </x:c>
    </x:row>
    <x:row r="181">
      <x:c r="A181" s="71"/>
      <x:c r="B181" s="72"/>
      <x:c r="C181" s="73"/>
      <x:c r="D181" s="73"/>
      <x:c r="E181" s="73"/>
      <x:c r="F181" s="73"/>
      <x:c r="G181" s="73"/>
      <x:c r="H181" s="73"/>
      <x:c r="I181" s="73"/>
      <x:c r="J181" s="73"/>
      <x:c r="K181" s="74" t="str">
        <x:f>IF(OR(D181="",E181=""),"",IFERROR(D181/E181,""))</x:f>
      </x:c>
      <x:c r="L181" s="75" t="str">
        <x:f>IF(OR(F181="",C181=""),"",IFERROR(F181/C181*1000,""))</x:f>
      </x:c>
      <x:c r="M181" s="74" t="str">
        <x:f>IF(OR(H181="",G181=""),"",IFERROR(H181/G181,""))</x:f>
      </x:c>
      <x:c r="N181" s="74" t="str">
        <x:f>IF(OR(I181="",J181=""),"",IFERROR(I181/J181,""))</x:f>
      </x:c>
      <x:c r="O181" s="76" t="str">
        <x:f>IF(A181="","",TEXTJOIN("; ",TRUE,IF(C181&lt;=0,"Population missing/invalid",""),IF(E181&lt;=0,"TB estimated cases missing/invalid",""),IF(D181&gt;E181,"TB notified &gt; estimated incident cases",""),IF(F181&gt;C181,"Malaria cases &gt; population (review period/definition)",""),IF(G181&lt;=0,"PLHIV denominator missing/invalid",""),IF(H181&gt;G181,"ART count &gt; estimated PLHIV",""),IF(J181&lt;=0,"HIV population-at-risk missing/invalid",""),IF(I181&gt;J181,"New HIV infections &gt; population at risk","")))</x:f>
      </x:c>
    </x:row>
    <x:row r="182">
      <x:c r="A182" s="71"/>
      <x:c r="B182" s="72"/>
      <x:c r="C182" s="73"/>
      <x:c r="D182" s="73"/>
      <x:c r="E182" s="73"/>
      <x:c r="F182" s="73"/>
      <x:c r="G182" s="73"/>
      <x:c r="H182" s="73"/>
      <x:c r="I182" s="73"/>
      <x:c r="J182" s="73"/>
      <x:c r="K182" s="74" t="str">
        <x:f>IF(OR(D182="",E182=""),"",IFERROR(D182/E182,""))</x:f>
      </x:c>
      <x:c r="L182" s="75" t="str">
        <x:f>IF(OR(F182="",C182=""),"",IFERROR(F182/C182*1000,""))</x:f>
      </x:c>
      <x:c r="M182" s="74" t="str">
        <x:f>IF(OR(H182="",G182=""),"",IFERROR(H182/G182,""))</x:f>
      </x:c>
      <x:c r="N182" s="74" t="str">
        <x:f>IF(OR(I182="",J182=""),"",IFERROR(I182/J182,""))</x:f>
      </x:c>
      <x:c r="O182" s="76" t="str">
        <x:f>IF(A182="","",TEXTJOIN("; ",TRUE,IF(C182&lt;=0,"Population missing/invalid",""),IF(E182&lt;=0,"TB estimated cases missing/invalid",""),IF(D182&gt;E182,"TB notified &gt; estimated incident cases",""),IF(F182&gt;C182,"Malaria cases &gt; population (review period/definition)",""),IF(G182&lt;=0,"PLHIV denominator missing/invalid",""),IF(H182&gt;G182,"ART count &gt; estimated PLHIV",""),IF(J182&lt;=0,"HIV population-at-risk missing/invalid",""),IF(I182&gt;J182,"New HIV infections &gt; population at risk","")))</x:f>
      </x:c>
    </x:row>
    <x:row r="183">
      <x:c r="A183" s="71"/>
      <x:c r="B183" s="72"/>
      <x:c r="C183" s="73"/>
      <x:c r="D183" s="73"/>
      <x:c r="E183" s="73"/>
      <x:c r="F183" s="73"/>
      <x:c r="G183" s="73"/>
      <x:c r="H183" s="73"/>
      <x:c r="I183" s="73"/>
      <x:c r="J183" s="73"/>
      <x:c r="K183" s="74" t="str">
        <x:f>IF(OR(D183="",E183=""),"",IFERROR(D183/E183,""))</x:f>
      </x:c>
      <x:c r="L183" s="75" t="str">
        <x:f>IF(OR(F183="",C183=""),"",IFERROR(F183/C183*1000,""))</x:f>
      </x:c>
      <x:c r="M183" s="74" t="str">
        <x:f>IF(OR(H183="",G183=""),"",IFERROR(H183/G183,""))</x:f>
      </x:c>
      <x:c r="N183" s="74" t="str">
        <x:f>IF(OR(I183="",J183=""),"",IFERROR(I183/J183,""))</x:f>
      </x:c>
      <x:c r="O183" s="76" t="str">
        <x:f>IF(A183="","",TEXTJOIN("; ",TRUE,IF(C183&lt;=0,"Population missing/invalid",""),IF(E183&lt;=0,"TB estimated cases missing/invalid",""),IF(D183&gt;E183,"TB notified &gt; estimated incident cases",""),IF(F183&gt;C183,"Malaria cases &gt; population (review period/definition)",""),IF(G183&lt;=0,"PLHIV denominator missing/invalid",""),IF(H183&gt;G183,"ART count &gt; estimated PLHIV",""),IF(J183&lt;=0,"HIV population-at-risk missing/invalid",""),IF(I183&gt;J183,"New HIV infections &gt; population at risk","")))</x:f>
      </x:c>
    </x:row>
    <x:row r="184">
      <x:c r="A184" s="71"/>
      <x:c r="B184" s="72"/>
      <x:c r="C184" s="73"/>
      <x:c r="D184" s="73"/>
      <x:c r="E184" s="73"/>
      <x:c r="F184" s="73"/>
      <x:c r="G184" s="73"/>
      <x:c r="H184" s="73"/>
      <x:c r="I184" s="73"/>
      <x:c r="J184" s="73"/>
      <x:c r="K184" s="74" t="str">
        <x:f>IF(OR(D184="",E184=""),"",IFERROR(D184/E184,""))</x:f>
      </x:c>
      <x:c r="L184" s="75" t="str">
        <x:f>IF(OR(F184="",C184=""),"",IFERROR(F184/C184*1000,""))</x:f>
      </x:c>
      <x:c r="M184" s="74" t="str">
        <x:f>IF(OR(H184="",G184=""),"",IFERROR(H184/G184,""))</x:f>
      </x:c>
      <x:c r="N184" s="74" t="str">
        <x:f>IF(OR(I184="",J184=""),"",IFERROR(I184/J184,""))</x:f>
      </x:c>
      <x:c r="O184" s="76" t="str">
        <x:f>IF(A184="","",TEXTJOIN("; ",TRUE,IF(C184&lt;=0,"Population missing/invalid",""),IF(E184&lt;=0,"TB estimated cases missing/invalid",""),IF(D184&gt;E184,"TB notified &gt; estimated incident cases",""),IF(F184&gt;C184,"Malaria cases &gt; population (review period/definition)",""),IF(G184&lt;=0,"PLHIV denominator missing/invalid",""),IF(H184&gt;G184,"ART count &gt; estimated PLHIV",""),IF(J184&lt;=0,"HIV population-at-risk missing/invalid",""),IF(I184&gt;J184,"New HIV infections &gt; population at risk","")))</x:f>
      </x:c>
    </x:row>
    <x:row r="185">
      <x:c r="A185" s="71"/>
      <x:c r="B185" s="72"/>
      <x:c r="C185" s="73"/>
      <x:c r="D185" s="73"/>
      <x:c r="E185" s="73"/>
      <x:c r="F185" s="73"/>
      <x:c r="G185" s="73"/>
      <x:c r="H185" s="73"/>
      <x:c r="I185" s="73"/>
      <x:c r="J185" s="73"/>
      <x:c r="K185" s="74" t="str">
        <x:f>IF(OR(D185="",E185=""),"",IFERROR(D185/E185,""))</x:f>
      </x:c>
      <x:c r="L185" s="75" t="str">
        <x:f>IF(OR(F185="",C185=""),"",IFERROR(F185/C185*1000,""))</x:f>
      </x:c>
      <x:c r="M185" s="74" t="str">
        <x:f>IF(OR(H185="",G185=""),"",IFERROR(H185/G185,""))</x:f>
      </x:c>
      <x:c r="N185" s="74" t="str">
        <x:f>IF(OR(I185="",J185=""),"",IFERROR(I185/J185,""))</x:f>
      </x:c>
      <x:c r="O185" s="76" t="str">
        <x:f>IF(A185="","",TEXTJOIN("; ",TRUE,IF(C185&lt;=0,"Population missing/invalid",""),IF(E185&lt;=0,"TB estimated cases missing/invalid",""),IF(D185&gt;E185,"TB notified &gt; estimated incident cases",""),IF(F185&gt;C185,"Malaria cases &gt; population (review period/definition)",""),IF(G185&lt;=0,"PLHIV denominator missing/invalid",""),IF(H185&gt;G185,"ART count &gt; estimated PLHIV",""),IF(J185&lt;=0,"HIV population-at-risk missing/invalid",""),IF(I185&gt;J185,"New HIV infections &gt; population at risk","")))</x:f>
      </x:c>
    </x:row>
    <x:row r="186">
      <x:c r="A186" s="71"/>
      <x:c r="B186" s="72"/>
      <x:c r="C186" s="73"/>
      <x:c r="D186" s="73"/>
      <x:c r="E186" s="73"/>
      <x:c r="F186" s="73"/>
      <x:c r="G186" s="73"/>
      <x:c r="H186" s="73"/>
      <x:c r="I186" s="73"/>
      <x:c r="J186" s="73"/>
      <x:c r="K186" s="74" t="str">
        <x:f>IF(OR(D186="",E186=""),"",IFERROR(D186/E186,""))</x:f>
      </x:c>
      <x:c r="L186" s="75" t="str">
        <x:f>IF(OR(F186="",C186=""),"",IFERROR(F186/C186*1000,""))</x:f>
      </x:c>
      <x:c r="M186" s="74" t="str">
        <x:f>IF(OR(H186="",G186=""),"",IFERROR(H186/G186,""))</x:f>
      </x:c>
      <x:c r="N186" s="74" t="str">
        <x:f>IF(OR(I186="",J186=""),"",IFERROR(I186/J186,""))</x:f>
      </x:c>
      <x:c r="O186" s="76" t="str">
        <x:f>IF(A186="","",TEXTJOIN("; ",TRUE,IF(C186&lt;=0,"Population missing/invalid",""),IF(E186&lt;=0,"TB estimated cases missing/invalid",""),IF(D186&gt;E186,"TB notified &gt; estimated incident cases",""),IF(F186&gt;C186,"Malaria cases &gt; population (review period/definition)",""),IF(G186&lt;=0,"PLHIV denominator missing/invalid",""),IF(H186&gt;G186,"ART count &gt; estimated PLHIV",""),IF(J186&lt;=0,"HIV population-at-risk missing/invalid",""),IF(I186&gt;J186,"New HIV infections &gt; population at risk","")))</x:f>
      </x:c>
    </x:row>
    <x:row r="187">
      <x:c r="A187" s="71"/>
      <x:c r="B187" s="72"/>
      <x:c r="C187" s="73"/>
      <x:c r="D187" s="73"/>
      <x:c r="E187" s="73"/>
      <x:c r="F187" s="73"/>
      <x:c r="G187" s="73"/>
      <x:c r="H187" s="73"/>
      <x:c r="I187" s="73"/>
      <x:c r="J187" s="73"/>
      <x:c r="K187" s="74" t="str">
        <x:f>IF(OR(D187="",E187=""),"",IFERROR(D187/E187,""))</x:f>
      </x:c>
      <x:c r="L187" s="75" t="str">
        <x:f>IF(OR(F187="",C187=""),"",IFERROR(F187/C187*1000,""))</x:f>
      </x:c>
      <x:c r="M187" s="74" t="str">
        <x:f>IF(OR(H187="",G187=""),"",IFERROR(H187/G187,""))</x:f>
      </x:c>
      <x:c r="N187" s="74" t="str">
        <x:f>IF(OR(I187="",J187=""),"",IFERROR(I187/J187,""))</x:f>
      </x:c>
      <x:c r="O187" s="76" t="str">
        <x:f>IF(A187="","",TEXTJOIN("; ",TRUE,IF(C187&lt;=0,"Population missing/invalid",""),IF(E187&lt;=0,"TB estimated cases missing/invalid",""),IF(D187&gt;E187,"TB notified &gt; estimated incident cases",""),IF(F187&gt;C187,"Malaria cases &gt; population (review period/definition)",""),IF(G187&lt;=0,"PLHIV denominator missing/invalid",""),IF(H187&gt;G187,"ART count &gt; estimated PLHIV",""),IF(J187&lt;=0,"HIV population-at-risk missing/invalid",""),IF(I187&gt;J187,"New HIV infections &gt; population at risk","")))</x:f>
      </x:c>
    </x:row>
    <x:row r="188">
      <x:c r="A188" s="71"/>
      <x:c r="B188" s="72"/>
      <x:c r="C188" s="73"/>
      <x:c r="D188" s="73"/>
      <x:c r="E188" s="73"/>
      <x:c r="F188" s="73"/>
      <x:c r="G188" s="73"/>
      <x:c r="H188" s="73"/>
      <x:c r="I188" s="73"/>
      <x:c r="J188" s="73"/>
      <x:c r="K188" s="74" t="str">
        <x:f>IF(OR(D188="",E188=""),"",IFERROR(D188/E188,""))</x:f>
      </x:c>
      <x:c r="L188" s="75" t="str">
        <x:f>IF(OR(F188="",C188=""),"",IFERROR(F188/C188*1000,""))</x:f>
      </x:c>
      <x:c r="M188" s="74" t="str">
        <x:f>IF(OR(H188="",G188=""),"",IFERROR(H188/G188,""))</x:f>
      </x:c>
      <x:c r="N188" s="74" t="str">
        <x:f>IF(OR(I188="",J188=""),"",IFERROR(I188/J188,""))</x:f>
      </x:c>
      <x:c r="O188" s="76" t="str">
        <x:f>IF(A188="","",TEXTJOIN("; ",TRUE,IF(C188&lt;=0,"Population missing/invalid",""),IF(E188&lt;=0,"TB estimated cases missing/invalid",""),IF(D188&gt;E188,"TB notified &gt; estimated incident cases",""),IF(F188&gt;C188,"Malaria cases &gt; population (review period/definition)",""),IF(G188&lt;=0,"PLHIV denominator missing/invalid",""),IF(H188&gt;G188,"ART count &gt; estimated PLHIV",""),IF(J188&lt;=0,"HIV population-at-risk missing/invalid",""),IF(I188&gt;J188,"New HIV infections &gt; population at risk","")))</x:f>
      </x:c>
    </x:row>
    <x:row r="189">
      <x:c r="A189" s="71"/>
      <x:c r="B189" s="72"/>
      <x:c r="C189" s="73"/>
      <x:c r="D189" s="73"/>
      <x:c r="E189" s="73"/>
      <x:c r="F189" s="73"/>
      <x:c r="G189" s="73"/>
      <x:c r="H189" s="73"/>
      <x:c r="I189" s="73"/>
      <x:c r="J189" s="73"/>
      <x:c r="K189" s="74" t="str">
        <x:f>IF(OR(D189="",E189=""),"",IFERROR(D189/E189,""))</x:f>
      </x:c>
      <x:c r="L189" s="75" t="str">
        <x:f>IF(OR(F189="",C189=""),"",IFERROR(F189/C189*1000,""))</x:f>
      </x:c>
      <x:c r="M189" s="74" t="str">
        <x:f>IF(OR(H189="",G189=""),"",IFERROR(H189/G189,""))</x:f>
      </x:c>
      <x:c r="N189" s="74" t="str">
        <x:f>IF(OR(I189="",J189=""),"",IFERROR(I189/J189,""))</x:f>
      </x:c>
      <x:c r="O189" s="76" t="str">
        <x:f>IF(A189="","",TEXTJOIN("; ",TRUE,IF(C189&lt;=0,"Population missing/invalid",""),IF(E189&lt;=0,"TB estimated cases missing/invalid",""),IF(D189&gt;E189,"TB notified &gt; estimated incident cases",""),IF(F189&gt;C189,"Malaria cases &gt; population (review period/definition)",""),IF(G189&lt;=0,"PLHIV denominator missing/invalid",""),IF(H189&gt;G189,"ART count &gt; estimated PLHIV",""),IF(J189&lt;=0,"HIV population-at-risk missing/invalid",""),IF(I189&gt;J189,"New HIV infections &gt; population at risk","")))</x:f>
      </x:c>
    </x:row>
    <x:row r="190">
      <x:c r="A190" s="71"/>
      <x:c r="B190" s="72"/>
      <x:c r="C190" s="73"/>
      <x:c r="D190" s="73"/>
      <x:c r="E190" s="73"/>
      <x:c r="F190" s="73"/>
      <x:c r="G190" s="73"/>
      <x:c r="H190" s="73"/>
      <x:c r="I190" s="73"/>
      <x:c r="J190" s="73"/>
      <x:c r="K190" s="74" t="str">
        <x:f>IF(OR(D190="",E190=""),"",IFERROR(D190/E190,""))</x:f>
      </x:c>
      <x:c r="L190" s="75" t="str">
        <x:f>IF(OR(F190="",C190=""),"",IFERROR(F190/C190*1000,""))</x:f>
      </x:c>
      <x:c r="M190" s="74" t="str">
        <x:f>IF(OR(H190="",G190=""),"",IFERROR(H190/G190,""))</x:f>
      </x:c>
      <x:c r="N190" s="74" t="str">
        <x:f>IF(OR(I190="",J190=""),"",IFERROR(I190/J190,""))</x:f>
      </x:c>
      <x:c r="O190" s="76" t="str">
        <x:f>IF(A190="","",TEXTJOIN("; ",TRUE,IF(C190&lt;=0,"Population missing/invalid",""),IF(E190&lt;=0,"TB estimated cases missing/invalid",""),IF(D190&gt;E190,"TB notified &gt; estimated incident cases",""),IF(F190&gt;C190,"Malaria cases &gt; population (review period/definition)",""),IF(G190&lt;=0,"PLHIV denominator missing/invalid",""),IF(H190&gt;G190,"ART count &gt; estimated PLHIV",""),IF(J190&lt;=0,"HIV population-at-risk missing/invalid",""),IF(I190&gt;J190,"New HIV infections &gt; population at risk","")))</x:f>
      </x:c>
    </x:row>
    <x:row r="191">
      <x:c r="A191" s="71"/>
      <x:c r="B191" s="72"/>
      <x:c r="C191" s="73"/>
      <x:c r="D191" s="73"/>
      <x:c r="E191" s="73"/>
      <x:c r="F191" s="73"/>
      <x:c r="G191" s="73"/>
      <x:c r="H191" s="73"/>
      <x:c r="I191" s="73"/>
      <x:c r="J191" s="73"/>
      <x:c r="K191" s="74" t="str">
        <x:f>IF(OR(D191="",E191=""),"",IFERROR(D191/E191,""))</x:f>
      </x:c>
      <x:c r="L191" s="75" t="str">
        <x:f>IF(OR(F191="",C191=""),"",IFERROR(F191/C191*1000,""))</x:f>
      </x:c>
      <x:c r="M191" s="74" t="str">
        <x:f>IF(OR(H191="",G191=""),"",IFERROR(H191/G191,""))</x:f>
      </x:c>
      <x:c r="N191" s="74" t="str">
        <x:f>IF(OR(I191="",J191=""),"",IFERROR(I191/J191,""))</x:f>
      </x:c>
      <x:c r="O191" s="76" t="str">
        <x:f>IF(A191="","",TEXTJOIN("; ",TRUE,IF(C191&lt;=0,"Population missing/invalid",""),IF(E191&lt;=0,"TB estimated cases missing/invalid",""),IF(D191&gt;E191,"TB notified &gt; estimated incident cases",""),IF(F191&gt;C191,"Malaria cases &gt; population (review period/definition)",""),IF(G191&lt;=0,"PLHIV denominator missing/invalid",""),IF(H191&gt;G191,"ART count &gt; estimated PLHIV",""),IF(J191&lt;=0,"HIV population-at-risk missing/invalid",""),IF(I191&gt;J191,"New HIV infections &gt; population at risk","")))</x:f>
      </x:c>
    </x:row>
    <x:row r="192">
      <x:c r="A192" s="71"/>
      <x:c r="B192" s="72"/>
      <x:c r="C192" s="73"/>
      <x:c r="D192" s="73"/>
      <x:c r="E192" s="73"/>
      <x:c r="F192" s="73"/>
      <x:c r="G192" s="73"/>
      <x:c r="H192" s="73"/>
      <x:c r="I192" s="73"/>
      <x:c r="J192" s="73"/>
      <x:c r="K192" s="74" t="str">
        <x:f>IF(OR(D192="",E192=""),"",IFERROR(D192/E192,""))</x:f>
      </x:c>
      <x:c r="L192" s="75" t="str">
        <x:f>IF(OR(F192="",C192=""),"",IFERROR(F192/C192*1000,""))</x:f>
      </x:c>
      <x:c r="M192" s="74" t="str">
        <x:f>IF(OR(H192="",G192=""),"",IFERROR(H192/G192,""))</x:f>
      </x:c>
      <x:c r="N192" s="74" t="str">
        <x:f>IF(OR(I192="",J192=""),"",IFERROR(I192/J192,""))</x:f>
      </x:c>
      <x:c r="O192" s="76" t="str">
        <x:f>IF(A192="","",TEXTJOIN("; ",TRUE,IF(C192&lt;=0,"Population missing/invalid",""),IF(E192&lt;=0,"TB estimated cases missing/invalid",""),IF(D192&gt;E192,"TB notified &gt; estimated incident cases",""),IF(F192&gt;C192,"Malaria cases &gt; population (review period/definition)",""),IF(G192&lt;=0,"PLHIV denominator missing/invalid",""),IF(H192&gt;G192,"ART count &gt; estimated PLHIV",""),IF(J192&lt;=0,"HIV population-at-risk missing/invalid",""),IF(I192&gt;J192,"New HIV infections &gt; population at risk","")))</x:f>
      </x:c>
    </x:row>
    <x:row r="193">
      <x:c r="A193" s="71"/>
      <x:c r="B193" s="72"/>
      <x:c r="C193" s="73"/>
      <x:c r="D193" s="73"/>
      <x:c r="E193" s="73"/>
      <x:c r="F193" s="73"/>
      <x:c r="G193" s="73"/>
      <x:c r="H193" s="73"/>
      <x:c r="I193" s="73"/>
      <x:c r="J193" s="73"/>
      <x:c r="K193" s="74" t="str">
        <x:f>IF(OR(D193="",E193=""),"",IFERROR(D193/E193,""))</x:f>
      </x:c>
      <x:c r="L193" s="75" t="str">
        <x:f>IF(OR(F193="",C193=""),"",IFERROR(F193/C193*1000,""))</x:f>
      </x:c>
      <x:c r="M193" s="74" t="str">
        <x:f>IF(OR(H193="",G193=""),"",IFERROR(H193/G193,""))</x:f>
      </x:c>
      <x:c r="N193" s="74" t="str">
        <x:f>IF(OR(I193="",J193=""),"",IFERROR(I193/J193,""))</x:f>
      </x:c>
      <x:c r="O193" s="76" t="str">
        <x:f>IF(A193="","",TEXTJOIN("; ",TRUE,IF(C193&lt;=0,"Population missing/invalid",""),IF(E193&lt;=0,"TB estimated cases missing/invalid",""),IF(D193&gt;E193,"TB notified &gt; estimated incident cases",""),IF(F193&gt;C193,"Malaria cases &gt; population (review period/definition)",""),IF(G193&lt;=0,"PLHIV denominator missing/invalid",""),IF(H193&gt;G193,"ART count &gt; estimated PLHIV",""),IF(J193&lt;=0,"HIV population-at-risk missing/invalid",""),IF(I193&gt;J193,"New HIV infections &gt; population at risk","")))</x:f>
      </x:c>
    </x:row>
    <x:row r="194">
      <x:c r="A194" s="71"/>
      <x:c r="B194" s="72"/>
      <x:c r="C194" s="73"/>
      <x:c r="D194" s="73"/>
      <x:c r="E194" s="73"/>
      <x:c r="F194" s="73"/>
      <x:c r="G194" s="73"/>
      <x:c r="H194" s="73"/>
      <x:c r="I194" s="73"/>
      <x:c r="J194" s="73"/>
      <x:c r="K194" s="74" t="str">
        <x:f>IF(OR(D194="",E194=""),"",IFERROR(D194/E194,""))</x:f>
      </x:c>
      <x:c r="L194" s="75" t="str">
        <x:f>IF(OR(F194="",C194=""),"",IFERROR(F194/C194*1000,""))</x:f>
      </x:c>
      <x:c r="M194" s="74" t="str">
        <x:f>IF(OR(H194="",G194=""),"",IFERROR(H194/G194,""))</x:f>
      </x:c>
      <x:c r="N194" s="74" t="str">
        <x:f>IF(OR(I194="",J194=""),"",IFERROR(I194/J194,""))</x:f>
      </x:c>
      <x:c r="O194" s="76" t="str">
        <x:f>IF(A194="","",TEXTJOIN("; ",TRUE,IF(C194&lt;=0,"Population missing/invalid",""),IF(E194&lt;=0,"TB estimated cases missing/invalid",""),IF(D194&gt;E194,"TB notified &gt; estimated incident cases",""),IF(F194&gt;C194,"Malaria cases &gt; population (review period/definition)",""),IF(G194&lt;=0,"PLHIV denominator missing/invalid",""),IF(H194&gt;G194,"ART count &gt; estimated PLHIV",""),IF(J194&lt;=0,"HIV population-at-risk missing/invalid",""),IF(I194&gt;J194,"New HIV infections &gt; population at risk","")))</x:f>
      </x:c>
    </x:row>
    <x:row r="195">
      <x:c r="A195" s="71"/>
      <x:c r="B195" s="72"/>
      <x:c r="C195" s="73"/>
      <x:c r="D195" s="73"/>
      <x:c r="E195" s="73"/>
      <x:c r="F195" s="73"/>
      <x:c r="G195" s="73"/>
      <x:c r="H195" s="73"/>
      <x:c r="I195" s="73"/>
      <x:c r="J195" s="73"/>
      <x:c r="K195" s="74" t="str">
        <x:f>IF(OR(D195="",E195=""),"",IFERROR(D195/E195,""))</x:f>
      </x:c>
      <x:c r="L195" s="75" t="str">
        <x:f>IF(OR(F195="",C195=""),"",IFERROR(F195/C195*1000,""))</x:f>
      </x:c>
      <x:c r="M195" s="74" t="str">
        <x:f>IF(OR(H195="",G195=""),"",IFERROR(H195/G195,""))</x:f>
      </x:c>
      <x:c r="N195" s="74" t="str">
        <x:f>IF(OR(I195="",J195=""),"",IFERROR(I195/J195,""))</x:f>
      </x:c>
      <x:c r="O195" s="76" t="str">
        <x:f>IF(A195="","",TEXTJOIN("; ",TRUE,IF(C195&lt;=0,"Population missing/invalid",""),IF(E195&lt;=0,"TB estimated cases missing/invalid",""),IF(D195&gt;E195,"TB notified &gt; estimated incident cases",""),IF(F195&gt;C195,"Malaria cases &gt; population (review period/definition)",""),IF(G195&lt;=0,"PLHIV denominator missing/invalid",""),IF(H195&gt;G195,"ART count &gt; estimated PLHIV",""),IF(J195&lt;=0,"HIV population-at-risk missing/invalid",""),IF(I195&gt;J195,"New HIV infections &gt; population at risk","")))</x:f>
      </x:c>
    </x:row>
    <x:row r="196">
      <x:c r="A196" s="71"/>
      <x:c r="B196" s="72"/>
      <x:c r="C196" s="73"/>
      <x:c r="D196" s="73"/>
      <x:c r="E196" s="73"/>
      <x:c r="F196" s="73"/>
      <x:c r="G196" s="73"/>
      <x:c r="H196" s="73"/>
      <x:c r="I196" s="73"/>
      <x:c r="J196" s="73"/>
      <x:c r="K196" s="74" t="str">
        <x:f>IF(OR(D196="",E196=""),"",IFERROR(D196/E196,""))</x:f>
      </x:c>
      <x:c r="L196" s="75" t="str">
        <x:f>IF(OR(F196="",C196=""),"",IFERROR(F196/C196*1000,""))</x:f>
      </x:c>
      <x:c r="M196" s="74" t="str">
        <x:f>IF(OR(H196="",G196=""),"",IFERROR(H196/G196,""))</x:f>
      </x:c>
      <x:c r="N196" s="74" t="str">
        <x:f>IF(OR(I196="",J196=""),"",IFERROR(I196/J196,""))</x:f>
      </x:c>
      <x:c r="O196" s="76" t="str">
        <x:f>IF(A196="","",TEXTJOIN("; ",TRUE,IF(C196&lt;=0,"Population missing/invalid",""),IF(E196&lt;=0,"TB estimated cases missing/invalid",""),IF(D196&gt;E196,"TB notified &gt; estimated incident cases",""),IF(F196&gt;C196,"Malaria cases &gt; population (review period/definition)",""),IF(G196&lt;=0,"PLHIV denominator missing/invalid",""),IF(H196&gt;G196,"ART count &gt; estimated PLHIV",""),IF(J196&lt;=0,"HIV population-at-risk missing/invalid",""),IF(I196&gt;J196,"New HIV infections &gt; population at risk","")))</x:f>
      </x:c>
    </x:row>
    <x:row r="197">
      <x:c r="A197" s="71"/>
      <x:c r="B197" s="72"/>
      <x:c r="C197" s="73"/>
      <x:c r="D197" s="73"/>
      <x:c r="E197" s="73"/>
      <x:c r="F197" s="73"/>
      <x:c r="G197" s="73"/>
      <x:c r="H197" s="73"/>
      <x:c r="I197" s="73"/>
      <x:c r="J197" s="73"/>
      <x:c r="K197" s="74" t="str">
        <x:f>IF(OR(D197="",E197=""),"",IFERROR(D197/E197,""))</x:f>
      </x:c>
      <x:c r="L197" s="75" t="str">
        <x:f>IF(OR(F197="",C197=""),"",IFERROR(F197/C197*1000,""))</x:f>
      </x:c>
      <x:c r="M197" s="74" t="str">
        <x:f>IF(OR(H197="",G197=""),"",IFERROR(H197/G197,""))</x:f>
      </x:c>
      <x:c r="N197" s="74" t="str">
        <x:f>IF(OR(I197="",J197=""),"",IFERROR(I197/J197,""))</x:f>
      </x:c>
      <x:c r="O197" s="76" t="str">
        <x:f>IF(A197="","",TEXTJOIN("; ",TRUE,IF(C197&lt;=0,"Population missing/invalid",""),IF(E197&lt;=0,"TB estimated cases missing/invalid",""),IF(D197&gt;E197,"TB notified &gt; estimated incident cases",""),IF(F197&gt;C197,"Malaria cases &gt; population (review period/definition)",""),IF(G197&lt;=0,"PLHIV denominator missing/invalid",""),IF(H197&gt;G197,"ART count &gt; estimated PLHIV",""),IF(J197&lt;=0,"HIV population-at-risk missing/invalid",""),IF(I197&gt;J197,"New HIV infections &gt; population at risk","")))</x:f>
      </x:c>
    </x:row>
    <x:row r="198">
      <x:c r="A198" s="71"/>
      <x:c r="B198" s="72"/>
      <x:c r="C198" s="73"/>
      <x:c r="D198" s="73"/>
      <x:c r="E198" s="73"/>
      <x:c r="F198" s="73"/>
      <x:c r="G198" s="73"/>
      <x:c r="H198" s="73"/>
      <x:c r="I198" s="73"/>
      <x:c r="J198" s="73"/>
      <x:c r="K198" s="74" t="str">
        <x:f>IF(OR(D198="",E198=""),"",IFERROR(D198/E198,""))</x:f>
      </x:c>
      <x:c r="L198" s="75" t="str">
        <x:f>IF(OR(F198="",C198=""),"",IFERROR(F198/C198*1000,""))</x:f>
      </x:c>
      <x:c r="M198" s="74" t="str">
        <x:f>IF(OR(H198="",G198=""),"",IFERROR(H198/G198,""))</x:f>
      </x:c>
      <x:c r="N198" s="74" t="str">
        <x:f>IF(OR(I198="",J198=""),"",IFERROR(I198/J198,""))</x:f>
      </x:c>
      <x:c r="O198" s="76" t="str">
        <x:f>IF(A198="","",TEXTJOIN("; ",TRUE,IF(C198&lt;=0,"Population missing/invalid",""),IF(E198&lt;=0,"TB estimated cases missing/invalid",""),IF(D198&gt;E198,"TB notified &gt; estimated incident cases",""),IF(F198&gt;C198,"Malaria cases &gt; population (review period/definition)",""),IF(G198&lt;=0,"PLHIV denominator missing/invalid",""),IF(H198&gt;G198,"ART count &gt; estimated PLHIV",""),IF(J198&lt;=0,"HIV population-at-risk missing/invalid",""),IF(I198&gt;J198,"New HIV infections &gt; population at risk","")))</x:f>
      </x:c>
    </x:row>
    <x:row r="199">
      <x:c r="A199" s="71"/>
      <x:c r="B199" s="72"/>
      <x:c r="C199" s="73"/>
      <x:c r="D199" s="73"/>
      <x:c r="E199" s="73"/>
      <x:c r="F199" s="73"/>
      <x:c r="G199" s="73"/>
      <x:c r="H199" s="73"/>
      <x:c r="I199" s="73"/>
      <x:c r="J199" s="73"/>
      <x:c r="K199" s="74" t="str">
        <x:f>IF(OR(D199="",E199=""),"",IFERROR(D199/E199,""))</x:f>
      </x:c>
      <x:c r="L199" s="75" t="str">
        <x:f>IF(OR(F199="",C199=""),"",IFERROR(F199/C199*1000,""))</x:f>
      </x:c>
      <x:c r="M199" s="74" t="str">
        <x:f>IF(OR(H199="",G199=""),"",IFERROR(H199/G199,""))</x:f>
      </x:c>
      <x:c r="N199" s="74" t="str">
        <x:f>IF(OR(I199="",J199=""),"",IFERROR(I199/J199,""))</x:f>
      </x:c>
      <x:c r="O199" s="76" t="str">
        <x:f>IF(A199="","",TEXTJOIN("; ",TRUE,IF(C199&lt;=0,"Population missing/invalid",""),IF(E199&lt;=0,"TB estimated cases missing/invalid",""),IF(D199&gt;E199,"TB notified &gt; estimated incident cases",""),IF(F199&gt;C199,"Malaria cases &gt; population (review period/definition)",""),IF(G199&lt;=0,"PLHIV denominator missing/invalid",""),IF(H199&gt;G199,"ART count &gt; estimated PLHIV",""),IF(J199&lt;=0,"HIV population-at-risk missing/invalid",""),IF(I199&gt;J199,"New HIV infections &gt; population at risk","")))</x:f>
      </x:c>
    </x:row>
    <x:row r="200">
      <x:c r="A200" s="71"/>
      <x:c r="B200" s="72"/>
      <x:c r="C200" s="73"/>
      <x:c r="D200" s="73"/>
      <x:c r="E200" s="73"/>
      <x:c r="F200" s="73"/>
      <x:c r="G200" s="73"/>
      <x:c r="H200" s="73"/>
      <x:c r="I200" s="73"/>
      <x:c r="J200" s="73"/>
      <x:c r="K200" s="74" t="str">
        <x:f>IF(OR(D200="",E200=""),"",IFERROR(D200/E200,""))</x:f>
      </x:c>
      <x:c r="L200" s="75" t="str">
        <x:f>IF(OR(F200="",C200=""),"",IFERROR(F200/C200*1000,""))</x:f>
      </x:c>
      <x:c r="M200" s="74" t="str">
        <x:f>IF(OR(H200="",G200=""),"",IFERROR(H200/G200,""))</x:f>
      </x:c>
      <x:c r="N200" s="74" t="str">
        <x:f>IF(OR(I200="",J200=""),"",IFERROR(I200/J200,""))</x:f>
      </x:c>
      <x:c r="O200" s="76" t="str">
        <x:f>IF(A200="","",TEXTJOIN("; ",TRUE,IF(C200&lt;=0,"Population missing/invalid",""),IF(E200&lt;=0,"TB estimated cases missing/invalid",""),IF(D200&gt;E200,"TB notified &gt; estimated incident cases",""),IF(F200&gt;C200,"Malaria cases &gt; population (review period/definition)",""),IF(G200&lt;=0,"PLHIV denominator missing/invalid",""),IF(H200&gt;G200,"ART count &gt; estimated PLHIV",""),IF(J200&lt;=0,"HIV population-at-risk missing/invalid",""),IF(I200&gt;J200,"New HIV infections &gt; population at risk","")))</x:f>
      </x:c>
    </x:row>
    <x:row r="201">
      <x:c r="A201" s="71"/>
      <x:c r="B201" s="72"/>
      <x:c r="C201" s="73"/>
      <x:c r="D201" s="73"/>
      <x:c r="E201" s="73"/>
      <x:c r="F201" s="73"/>
      <x:c r="G201" s="73"/>
      <x:c r="H201" s="73"/>
      <x:c r="I201" s="73"/>
      <x:c r="J201" s="73"/>
      <x:c r="K201" s="74" t="str">
        <x:f>IF(OR(D201="",E201=""),"",IFERROR(D201/E201,""))</x:f>
      </x:c>
      <x:c r="L201" s="75" t="str">
        <x:f>IF(OR(F201="",C201=""),"",IFERROR(F201/C201*1000,""))</x:f>
      </x:c>
      <x:c r="M201" s="74" t="str">
        <x:f>IF(OR(H201="",G201=""),"",IFERROR(H201/G201,""))</x:f>
      </x:c>
      <x:c r="N201" s="74" t="str">
        <x:f>IF(OR(I201="",J201=""),"",IFERROR(I201/J201,""))</x:f>
      </x:c>
      <x:c r="O201" s="76" t="str">
        <x:f>IF(A201="","",TEXTJOIN("; ",TRUE,IF(C201&lt;=0,"Population missing/invalid",""),IF(E201&lt;=0,"TB estimated cases missing/invalid",""),IF(D201&gt;E201,"TB notified &gt; estimated incident cases",""),IF(F201&gt;C201,"Malaria cases &gt; population (review period/definition)",""),IF(G201&lt;=0,"PLHIV denominator missing/invalid",""),IF(H201&gt;G201,"ART count &gt; estimated PLHIV",""),IF(J201&lt;=0,"HIV population-at-risk missing/invalid",""),IF(I201&gt;J201,"New HIV infections &gt; population at risk","")))</x:f>
      </x:c>
    </x:row>
  </x:sheetData>
  <x:conditionalFormatting sqref="O2:O201">
    <x:cfRule type="expression" dxfId="0" priority="1">
      <x:formula>O2&lt;&gt;""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0cb632199e4d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16" hidden="0" customWidth="1"/>
    <x:col min="4" max="4" width="16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5" t="str">
        <x:v>Health Indicator Dashboard</x:v>
      </x:c>
      <x:c r="B1" s="5"/>
      <x:c r="C1" s="5"/>
      <x:c r="D1" s="5"/>
      <x:c r="E1" s="5"/>
      <x:c r="F1" s="5"/>
      <x:c r="G1" s="5"/>
      <x:c r="H1" s="5"/>
      <x:c r="I1" s="67"/>
      <x:c r="J1" s="67"/>
      <x:c r="K1" s="67"/>
      <x:c r="L1" s="67"/>
      <x:c r="M1" s="67"/>
    </x:row>
    <x:row r="2">
      <x:c r="A2" s="5"/>
      <x:c r="B2" s="5"/>
      <x:c r="C2" s="5"/>
      <x:c r="D2" s="5"/>
      <x:c r="E2" s="5"/>
      <x:c r="F2" s="5"/>
      <x:c r="G2" s="5"/>
      <x:c r="H2" s="5"/>
      <x:c r="I2" s="67"/>
      <x:c r="J2" s="67"/>
      <x:c r="K2" s="67"/>
      <x:c r="L2" s="67"/>
      <x:c r="M2" s="6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</x:row>
    <x:row r="4">
      <x:c r="A4" s="29" t="str">
        <x:v>Selector</x:v>
      </x:c>
      <x:c r="B4" s="29" t="str">
        <x:v>Value</x:v>
      </x:c>
      <x:c r="C4" s="67"/>
      <x:c r="D4" s="67"/>
      <x:c r="E4" s="67"/>
      <x:c r="F4" s="29" t="str">
        <x:v>Indicator</x:v>
      </x:c>
      <x:c r="G4" s="29" t="str">
        <x:v>Current</x:v>
      </x:c>
      <x:c r="H4" s="29" t="str">
        <x:v>Prior</x:v>
      </x:c>
      <x:c r="I4" s="67"/>
      <x:c r="J4" s="67"/>
      <x:c r="K4" s="67"/>
      <x:c r="L4" s="67"/>
      <x:c r="M4" s="67"/>
    </x:row>
    <x:row r="5">
      <x:c r="A5" s="12" t="str">
        <x:v>Area / Health Zone</x:v>
      </x:c>
      <x:c r="B5" s="83" t="str">
        <x:v>Health Zone A</x:v>
      </x:c>
      <x:c r="C5" s="67"/>
      <x:c r="D5" s="67"/>
      <x:c r="E5" s="67"/>
      <x:c r="F5" s="67" t="str">
        <x:v>TB Detection Rate</x:v>
      </x:c>
      <x:c r="G5" s="84" t="n">
        <x:f>B10</x:f>
        <x:v>0.8272727272727273</x:v>
      </x:c>
      <x:c r="H5" s="84" t="n">
        <x:f>C10</x:f>
        <x:v>0.775</x:v>
      </x:c>
      <x:c r="I5" s="67"/>
      <x:c r="J5" s="67"/>
      <x:c r="K5" s="67"/>
      <x:c r="L5" s="67"/>
      <x:c r="M5" s="67"/>
    </x:row>
    <x:row r="6">
      <x:c r="A6" s="12" t="str">
        <x:v>Current Period</x:v>
      </x:c>
      <x:c r="B6" s="83" t="n">
        <x:v>2026</x:v>
      </x:c>
      <x:c r="C6" s="67"/>
      <x:c r="D6" s="67"/>
      <x:c r="E6" s="67"/>
      <x:c r="F6" s="67" t="str">
        <x:v>ART Coverage</x:v>
      </x:c>
      <x:c r="G6" s="84" t="n">
        <x:f>B12</x:f>
        <x:v>0.9067460317460317</x:v>
      </x:c>
      <x:c r="H6" s="84" t="n">
        <x:f>C12</x:f>
        <x:v>0.8616326530612245</x:v>
      </x:c>
      <x:c r="I6" s="67"/>
      <x:c r="J6" s="67"/>
      <x:c r="K6" s="67"/>
      <x:c r="L6" s="67"/>
      <x:c r="M6" s="67"/>
    </x:row>
    <x:row r="7">
      <x:c r="A7" s="12" t="str">
        <x:v>Prior Period</x:v>
      </x:c>
      <x:c r="B7" s="83" t="n">
        <x:v>2025</x:v>
      </x:c>
      <x:c r="C7" s="67"/>
      <x:c r="D7" s="67"/>
      <x:c r="E7" s="67"/>
      <x:c r="F7" s="67" t="str">
        <x:v>HIV Incidence (15–24)</x:v>
      </x:c>
      <x:c r="G7" s="84" t="n">
        <x:f>B13</x:f>
        <x:v>0.00010738255033557047</x:v>
      </x:c>
      <x:c r="H7" s="84" t="n">
        <x:f>C13</x:f>
        <x:v>0.0002916666666666667</x:v>
      </x:c>
      <x:c r="I7" s="67"/>
      <x:c r="J7" s="67"/>
      <x:c r="K7" s="67"/>
      <x:c r="L7" s="67"/>
      <x:c r="M7" s="67"/>
    </x:row>
    <x:row r="8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</x:row>
    <x:row r="9">
      <x:c r="A9" s="29" t="str">
        <x:v>Indicator</x:v>
      </x:c>
      <x:c r="B9" s="29" t="str">
        <x:v>Current</x:v>
      </x:c>
      <x:c r="C9" s="29" t="str">
        <x:v>Prior</x:v>
      </x:c>
      <x:c r="D9" s="29" t="str">
        <x:v>Change</x:v>
      </x:c>
      <x:c r="E9" s="67"/>
      <x:c r="F9" s="67"/>
      <x:c r="G9" s="67"/>
      <x:c r="H9" s="67"/>
      <x:c r="I9" s="67"/>
      <x:c r="J9" s="67"/>
      <x:c r="K9" s="67"/>
      <x:c r="L9" s="67"/>
      <x:c r="M9" s="67"/>
    </x:row>
    <x:row r="10">
      <x:c r="A10" s="12" t="str">
        <x:v>TB Detection Rate</x:v>
      </x:c>
      <x:c r="B10" s="85" t="n">
        <x:f>IFERROR(SUMIFS('Data Entry'!$D$2:$D$201,'Data Entry'!$A$2:$A$201,$B$5,'Data Entry'!$B$2:$B$201,$B$6)/SUMIFS('Data Entry'!$E$2:$E$201,'Data Entry'!$A$2:$A$201,$B$5,'Data Entry'!$B$2:$B$201,$B$6),"")</x:f>
        <x:v>0.8272727272727273</x:v>
      </x:c>
      <x:c r="C10" s="85" t="n">
        <x:f>IFERROR(SUMIFS('Data Entry'!$D$2:$D$201,'Data Entry'!$A$2:$A$201,$B$5,'Data Entry'!$B$2:$B$201,$B$7)/SUMIFS('Data Entry'!$E$2:$E$201,'Data Entry'!$A$2:$A$201,$B$5,'Data Entry'!$B$2:$B$201,$B$7),"")</x:f>
        <x:v>0.775</x:v>
      </x:c>
      <x:c r="D10" s="85" t="n">
        <x:f>IF(OR(B10="",C10=""),"",B10-C10)</x:f>
        <x:v>0.05227272727272725</x:v>
      </x:c>
      <x:c r="E10" s="67"/>
      <x:c r="F10" s="67"/>
      <x:c r="G10" s="67"/>
      <x:c r="H10" s="67"/>
      <x:c r="I10" s="67"/>
      <x:c r="J10" s="67"/>
      <x:c r="K10" s="67"/>
      <x:c r="L10" s="67"/>
      <x:c r="M10" s="67"/>
    </x:row>
    <x:row r="11">
      <x:c r="A11" s="12" t="str">
        <x:v>Malaria Incidence / 1,000</x:v>
      </x:c>
      <x:c r="B11" s="86" t="n">
        <x:f>IFERROR(SUMIFS('Data Entry'!$F$2:$F$201,'Data Entry'!$A$2:$A$201,$B$5,'Data Entry'!$B$2:$B$201,$B$6)/SUMIFS('Data Entry'!$C$2:$C$201,'Data Entry'!$A$2:$A$201,$B$5,'Data Entry'!$B$2:$B$201,$B$6)*1000,"")</x:f>
        <x:v>110.75845001490676</x:v>
      </x:c>
      <x:c r="C11" s="86" t="n">
        <x:f>IFERROR(SUMIFS('Data Entry'!$F$2:$F$201,'Data Entry'!$A$2:$A$201,$B$5,'Data Entry'!$B$2:$B$201,$B$7)/SUMIFS('Data Entry'!$C$2:$C$201,'Data Entry'!$A$2:$A$201,$B$5,'Data Entry'!$B$2:$B$201,$B$7)*1000,"")</x:f>
        <x:v>123.51634574765274</x:v>
      </x:c>
      <x:c r="D11" s="86" t="n">
        <x:f>IF(OR(B11="",C11=""),"",B11-C11)</x:f>
        <x:v>-12.757895732745979</x:v>
      </x:c>
      <x:c r="E11" s="67"/>
      <x:c r="F11" s="67"/>
      <x:c r="G11" s="67"/>
      <x:c r="H11" s="67"/>
      <x:c r="I11" s="67"/>
      <x:c r="J11" s="67"/>
      <x:c r="K11" s="67"/>
      <x:c r="L11" s="67"/>
      <x:c r="M11" s="67"/>
    </x:row>
    <x:row r="12">
      <x:c r="A12" s="12" t="str">
        <x:v>ART Coverage</x:v>
      </x:c>
      <x:c r="B12" s="85" t="n">
        <x:f>IFERROR(SUMIFS('Data Entry'!$H$2:$H$201,'Data Entry'!$A$2:$A$201,$B$5,'Data Entry'!$B$2:$B$201,$B$6)/SUMIFS('Data Entry'!$G$2:$G$201,'Data Entry'!$A$2:$A$201,$B$5,'Data Entry'!$B$2:$B$201,$B$6),"")</x:f>
        <x:v>0.9067460317460317</x:v>
      </x:c>
      <x:c r="C12" s="85" t="n">
        <x:f>IFERROR(SUMIFS('Data Entry'!$H$2:$H$201,'Data Entry'!$A$2:$A$201,$B$5,'Data Entry'!$B$2:$B$201,$B$7)/SUMIFS('Data Entry'!$G$2:$G$201,'Data Entry'!$A$2:$A$201,$B$5,'Data Entry'!$B$2:$B$201,$B$7),"")</x:f>
        <x:v>0.8616326530612245</x:v>
      </x:c>
      <x:c r="D12" s="85" t="n">
        <x:f>IF(OR(B12="",C12=""),"",B12-C12)</x:f>
        <x:v>0.04511337868480725</x:v>
      </x:c>
      <x:c r="E12" s="67"/>
      <x:c r="F12" s="67"/>
      <x:c r="G12" s="67"/>
      <x:c r="H12" s="67"/>
      <x:c r="I12" s="67"/>
      <x:c r="J12" s="67"/>
      <x:c r="K12" s="67"/>
      <x:c r="L12" s="67"/>
      <x:c r="M12" s="67"/>
    </x:row>
    <x:row r="13">
      <x:c r="A13" s="12" t="str">
        <x:v>HIV Incidence (15–24)</x:v>
      </x:c>
      <x:c r="B13" s="85" t="n">
        <x:f>IFERROR(SUMIFS('Data Entry'!$I$2:$I$201,'Data Entry'!$A$2:$A$201,$B$5,'Data Entry'!$B$2:$B$201,$B$6)/SUMIFS('Data Entry'!$J$2:$J$201,'Data Entry'!$A$2:$A$201,$B$5,'Data Entry'!$B$2:$B$201,$B$6),"")</x:f>
        <x:v>0.00010738255033557047</x:v>
      </x:c>
      <x:c r="C13" s="85" t="n">
        <x:f>IFERROR(SUMIFS('Data Entry'!$I$2:$I$201,'Data Entry'!$A$2:$A$201,$B$5,'Data Entry'!$B$2:$B$201,$B$7)/SUMIFS('Data Entry'!$J$2:$J$201,'Data Entry'!$A$2:$A$201,$B$5,'Data Entry'!$B$2:$B$201,$B$7),"")</x:f>
        <x:v>0.0002916666666666667</x:v>
      </x:c>
      <x:c r="D13" s="85" t="n">
        <x:f>IF(OR(B13="",C13=""),"",B13-C13)</x:f>
        <x:v>-0.00018428411633109623</x:v>
      </x:c>
      <x:c r="E13" s="67"/>
      <x:c r="F13" s="67"/>
      <x:c r="G13" s="67"/>
      <x:c r="H13" s="67"/>
      <x:c r="I13" s="67"/>
      <x:c r="J13" s="67"/>
      <x:c r="K13" s="67"/>
      <x:c r="L13" s="67"/>
      <x:c r="M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</x:row>
    <x:row r="15">
      <x:c r="A15" s="29" t="str">
        <x:v>Data quality</x:v>
      </x:c>
      <x:c r="B15" s="29" t="str">
        <x:v>Current period warnings</x:v>
      </x:c>
      <x:c r="C15" s="29" t="str"/>
      <x:c r="D15" s="29" t="str"/>
      <x:c r="E15" s="67"/>
      <x:c r="F15" s="67"/>
      <x:c r="G15" s="67"/>
      <x:c r="H15" s="67"/>
      <x:c r="I15" s="67"/>
      <x:c r="J15" s="67"/>
      <x:c r="K15" s="67"/>
      <x:c r="L15" s="67"/>
      <x:c r="M15" s="67"/>
    </x:row>
    <x:row r="16">
      <x:c r="A16" s="12" t="str">
        <x:v>Warning status</x:v>
      </x:c>
      <x:c r="B16" s="65" t="str">
        <x:f>IF(COUNTIFS('Data Entry'!$A$2:$A$201,$B$5,'Data Entry'!$B$2:$B$201,$B$6,'Data Entry'!$O$2:$O$201,"?*")=0,"No warnings detected","Review Data Entry warning column")</x:f>
        <x:v>No warnings detected</x:v>
      </x:c>
      <x:c r="C16" s="65"/>
      <x:c r="D16" s="65"/>
      <x:c r="E16" s="67"/>
      <x:c r="F16" s="67"/>
      <x:c r="G16" s="67"/>
      <x:c r="H16" s="67"/>
      <x:c r="I16" s="67"/>
      <x:c r="J16" s="67"/>
      <x:c r="K16" s="67"/>
      <x:c r="L16" s="67"/>
      <x:c r="M16" s="67"/>
    </x:row>
    <x:row r="17">
      <x:c r="A17" s="67"/>
      <x:c r="B17" s="65"/>
      <x:c r="C17" s="65"/>
      <x:c r="D17" s="65"/>
      <x:c r="E17" s="67"/>
      <x:c r="F17" s="67"/>
      <x:c r="G17" s="67"/>
      <x:c r="H17" s="67"/>
      <x:c r="I17" s="67"/>
      <x:c r="J17" s="67"/>
      <x:c r="K17" s="67"/>
      <x:c r="L17" s="67"/>
      <x:c r="M17" s="67"/>
    </x:row>
    <x:row r="18">
      <x:c r="A18" s="67"/>
      <x:c r="B18" s="65"/>
      <x:c r="C18" s="65"/>
      <x:c r="D18" s="65"/>
      <x:c r="E18" s="67"/>
      <x:c r="F18" s="67"/>
      <x:c r="G18" s="67"/>
      <x:c r="H18" s="67"/>
      <x:c r="I18" s="67"/>
      <x:c r="J18" s="67"/>
      <x:c r="K18" s="67"/>
      <x:c r="L18" s="67"/>
      <x:c r="M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</x:row>
    <x:row r="25">
      <x:c r="A25" s="67"/>
      <x:c r="B25" s="67"/>
      <x:c r="C25" s="67"/>
      <x:c r="D25" s="67"/>
      <x:c r="E25" s="67"/>
      <x:c r="F25" s="29" t="str">
        <x:v>Indicator</x:v>
      </x:c>
      <x:c r="G25" s="29" t="str">
        <x:v>Current</x:v>
      </x:c>
      <x:c r="H25" s="29" t="str">
        <x:v>Prior</x:v>
      </x:c>
      <x:c r="I25" s="67"/>
      <x:c r="J25" s="67"/>
      <x:c r="K25" s="67"/>
      <x:c r="L25" s="67"/>
      <x:c r="M25" s="67"/>
    </x:row>
    <x:row r="26">
      <x:c r="A26" s="67"/>
      <x:c r="B26" s="67"/>
      <x:c r="C26" s="67"/>
      <x:c r="D26" s="67"/>
      <x:c r="E26" s="67"/>
      <x:c r="F26" s="67" t="str">
        <x:v>Malaria Incidence / 1,000</x:v>
      </x:c>
      <x:c r="G26" s="87" t="n">
        <x:f>B11</x:f>
        <x:v>110.75845001490676</x:v>
      </x:c>
      <x:c r="H26" s="87" t="n">
        <x:f>C11</x:f>
        <x:v>123.51634574765274</x:v>
      </x:c>
      <x:c r="I26" s="67"/>
      <x:c r="J26" s="67"/>
      <x:c r="K26" s="67"/>
      <x:c r="L26" s="67"/>
      <x:c r="M26" s="67"/>
    </x:row>
    <x:row r="27">
      <x:c r="A27" s="67"/>
      <x:c r="B27" s="67"/>
      <x:c r="C27" s="67"/>
      <x:c r="D27" s="67"/>
      <x:c r="E27" s="67"/>
      <x:c r="F27" s="67" t="str"/>
      <x:c r="G27" s="67"/>
      <x:c r="H27" s="67"/>
      <x:c r="I27" s="67"/>
      <x:c r="J27" s="67"/>
      <x:c r="K27" s="67"/>
      <x:c r="L27" s="67"/>
      <x:c r="M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</x:row>
  </x:sheetData>
  <x:mergeCells>
    <x:mergeCell ref="A1:H2"/>
    <x:mergeCell ref="B16:D18"/>
  </x:mergeCells>
  <x:dataValidations count="2">
    <x:dataValidation type="list" sqref="B5">
      <x:formula1>'Data Entry'!$A$2:$A$201</x:formula1>
    </x:dataValidation>
    <x:dataValidation type="list" sqref="B6:B7">
      <x:formula1>'Data Entry'!$B$2:$B$201</x:formula1>
    </x:dataValidation>
  </x:dataValidations>
  <x:pageMargins left="0.7" right="0.7" top="0.75" bottom="0.75" header="0.3" footer="0.3"/>
  <x:drawing xmlns:r="http://schemas.openxmlformats.org/officeDocument/2006/relationships" r:id="R0d557d5c38b0412e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Health Data Summary Report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3">
      <x:c r="A3" s="67"/>
      <x:c r="B3" s="67"/>
      <x:c r="C3" s="67"/>
      <x:c r="D3" s="67"/>
      <x:c r="E3" s="67"/>
      <x:c r="F3" s="67"/>
    </x:row>
    <x:row r="4">
      <x:c r="A4" s="12" t="str">
        <x:v>Selected Area</x:v>
      </x:c>
      <x:c r="B4" s="67" t="str">
        <x:f>Dashboard!B5</x:f>
        <x:v>Health Zone A</x:v>
      </x:c>
      <x:c r="C4" s="67"/>
      <x:c r="D4" s="67"/>
      <x:c r="E4" s="67"/>
      <x:c r="F4" s="67"/>
    </x:row>
    <x:row r="5">
      <x:c r="A5" s="12" t="str">
        <x:v>Current Period</x:v>
      </x:c>
      <x:c r="B5" s="67" t="n">
        <x:f>Dashboard!B6</x:f>
        <x:v>2026</x:v>
      </x:c>
      <x:c r="C5" s="67"/>
      <x:c r="D5" s="67"/>
      <x:c r="E5" s="67"/>
      <x:c r="F5" s="67"/>
    </x:row>
    <x:row r="6">
      <x:c r="A6" s="12" t="str">
        <x:v>Prior Period</x:v>
      </x:c>
      <x:c r="B6" s="67" t="n">
        <x:f>Dashboard!B7</x:f>
        <x:v>2025</x:v>
      </x:c>
      <x:c r="C6" s="67"/>
      <x:c r="D6" s="67"/>
      <x:c r="E6" s="67"/>
      <x:c r="F6" s="67"/>
    </x:row>
    <x:row r="7">
      <x:c r="A7" s="12" t="str">
        <x:v>Generated From</x:v>
      </x:c>
      <x:c r="B7" s="67" t="str">
        <x:v>Dashboard selectors</x:v>
      </x:c>
      <x:c r="C7" s="67"/>
      <x:c r="D7" s="67"/>
      <x:c r="E7" s="67"/>
      <x:c r="F7" s="67"/>
    </x:row>
    <x:row r="8">
      <x:c r="A8" s="67"/>
      <x:c r="B8" s="67"/>
      <x:c r="C8" s="67"/>
      <x:c r="D8" s="67"/>
      <x:c r="E8" s="67"/>
      <x:c r="F8" s="67"/>
    </x:row>
    <x:row r="9">
      <x:c r="A9" s="29" t="str">
        <x:v>Indicator</x:v>
      </x:c>
      <x:c r="B9" s="29" t="str">
        <x:v>Current</x:v>
      </x:c>
      <x:c r="C9" s="29" t="str">
        <x:v>Prior</x:v>
      </x:c>
      <x:c r="D9" s="29" t="str">
        <x:v>Change</x:v>
      </x:c>
      <x:c r="E9" s="67"/>
      <x:c r="F9" s="67"/>
    </x:row>
    <x:row r="10">
      <x:c r="A10" s="12" t="str">
        <x:v>TB Detection Rate</x:v>
      </x:c>
      <x:c r="B10" s="84" t="n">
        <x:f>Dashboard!B10</x:f>
        <x:v>0.8272727272727273</x:v>
      </x:c>
      <x:c r="C10" s="84" t="n">
        <x:f>Dashboard!C10</x:f>
        <x:v>0.775</x:v>
      </x:c>
      <x:c r="D10" s="84" t="n">
        <x:f>Dashboard!D10</x:f>
        <x:v>0.05227272727272725</x:v>
      </x:c>
      <x:c r="E10" s="67"/>
      <x:c r="F10" s="67"/>
    </x:row>
    <x:row r="11">
      <x:c r="A11" s="12" t="str">
        <x:v>Malaria Incidence / 1,000</x:v>
      </x:c>
      <x:c r="B11" s="87" t="n">
        <x:f>Dashboard!B11</x:f>
        <x:v>110.75845001490676</x:v>
      </x:c>
      <x:c r="C11" s="87" t="n">
        <x:f>Dashboard!C11</x:f>
        <x:v>123.51634574765274</x:v>
      </x:c>
      <x:c r="D11" s="87" t="n">
        <x:f>Dashboard!D11</x:f>
        <x:v>-12.757895732745979</x:v>
      </x:c>
      <x:c r="E11" s="67"/>
      <x:c r="F11" s="67"/>
    </x:row>
    <x:row r="12">
      <x:c r="A12" s="12" t="str">
        <x:v>ART Coverage</x:v>
      </x:c>
      <x:c r="B12" s="84" t="n">
        <x:f>Dashboard!B12</x:f>
        <x:v>0.9067460317460317</x:v>
      </x:c>
      <x:c r="C12" s="84" t="n">
        <x:f>Dashboard!C12</x:f>
        <x:v>0.8616326530612245</x:v>
      </x:c>
      <x:c r="D12" s="84" t="n">
        <x:f>Dashboard!D12</x:f>
        <x:v>0.04511337868480725</x:v>
      </x:c>
      <x:c r="E12" s="67"/>
      <x:c r="F12" s="67"/>
    </x:row>
    <x:row r="13">
      <x:c r="A13" s="12" t="str">
        <x:v>HIV Incidence (15–24)</x:v>
      </x:c>
      <x:c r="B13" s="84" t="n">
        <x:f>Dashboard!B13</x:f>
        <x:v>0.00010738255033557047</x:v>
      </x:c>
      <x:c r="C13" s="84" t="n">
        <x:f>Dashboard!C13</x:f>
        <x:v>0.0002916666666666667</x:v>
      </x:c>
      <x:c r="D13" s="84" t="n">
        <x:f>Dashboard!D13</x:f>
        <x:v>-0.00018428411633109623</x:v>
      </x:c>
      <x:c r="E13" s="67"/>
      <x:c r="F13" s="67"/>
    </x:row>
    <x:row r="14">
      <x:c r="A14" s="67"/>
      <x:c r="B14" s="67"/>
      <x:c r="C14" s="67"/>
      <x:c r="D14" s="67"/>
      <x:c r="E14" s="67"/>
      <x:c r="F14" s="67"/>
    </x:row>
    <x:row r="15">
      <x:c r="A15" s="29" t="str">
        <x:v>Data Quality Status</x:v>
      </x:c>
      <x:c r="B15" s="29"/>
      <x:c r="C15" s="29"/>
      <x:c r="D15" s="29"/>
      <x:c r="E15" s="29"/>
      <x:c r="F15" s="29"/>
    </x:row>
    <x:row r="16">
      <x:c r="A16" s="65" t="str">
        <x:f>Dashboard!B16</x:f>
        <x:v>No warnings detected</x:v>
      </x:c>
      <x:c r="B16" s="65"/>
      <x:c r="C16" s="65"/>
      <x:c r="D16" s="65"/>
      <x:c r="E16" s="65"/>
      <x:c r="F16" s="65"/>
    </x:row>
    <x:row r="17">
      <x:c r="A17" s="65"/>
      <x:c r="B17" s="65"/>
      <x:c r="C17" s="65"/>
      <x:c r="D17" s="65"/>
      <x:c r="E17" s="65"/>
      <x:c r="F17" s="65"/>
    </x:row>
    <x:row r="18">
      <x:c r="A18" s="65"/>
      <x:c r="B18" s="65"/>
      <x:c r="C18" s="65"/>
      <x:c r="D18" s="65"/>
      <x:c r="E18" s="65"/>
      <x:c r="F18" s="65"/>
    </x:row>
    <x:row r="19">
      <x:c r="A19" s="67"/>
      <x:c r="B19" s="67"/>
      <x:c r="C19" s="67"/>
      <x:c r="D19" s="67"/>
      <x:c r="E19" s="67"/>
      <x:c r="F19" s="67"/>
    </x:row>
    <x:row r="20">
      <x:c r="A20" s="29" t="str">
        <x:v>Interpretation Notes</x:v>
      </x:c>
      <x:c r="B20" s="29"/>
      <x:c r="C20" s="29"/>
      <x:c r="D20" s="29"/>
      <x:c r="E20" s="29"/>
      <x:c r="F20" s="29"/>
    </x:row>
    <x:row r="21">
      <x:c r="A21" s="65" t="str">
        <x:v>Positive or negative change should be interpreted according to the indicator. For example, higher ART coverage is generally favorable, while a rise in malaria incidence may require investigation. Always consider changes in testing, reporting completeness, population estimates, case definitions, and program targets.</x:v>
      </x:c>
      <x:c r="B21" s="65"/>
      <x:c r="C21" s="65"/>
      <x:c r="D21" s="65"/>
      <x:c r="E21" s="65"/>
      <x:c r="F21" s="65"/>
    </x:row>
    <x:row r="22">
      <x:c r="A22" s="65"/>
      <x:c r="B22" s="65"/>
      <x:c r="C22" s="65"/>
      <x:c r="D22" s="65"/>
      <x:c r="E22" s="65"/>
      <x:c r="F22" s="65"/>
    </x:row>
    <x:row r="23">
      <x:c r="A23" s="65"/>
      <x:c r="B23" s="65"/>
      <x:c r="C23" s="65"/>
      <x:c r="D23" s="65"/>
      <x:c r="E23" s="65"/>
      <x:c r="F23" s="65"/>
    </x:row>
    <x:row r="24">
      <x:c r="A24" s="65"/>
      <x:c r="B24" s="65"/>
      <x:c r="C24" s="65"/>
      <x:c r="D24" s="65"/>
      <x:c r="E24" s="65"/>
      <x:c r="F24" s="65"/>
    </x:row>
    <x:row r="25">
      <x:c r="A25" s="65"/>
      <x:c r="B25" s="65"/>
      <x:c r="C25" s="65"/>
      <x:c r="D25" s="65"/>
      <x:c r="E25" s="65"/>
      <x:c r="F25" s="65"/>
    </x:row>
  </x:sheetData>
  <x:mergeCells>
    <x:mergeCell ref="A1:F2"/>
    <x:mergeCell ref="A15:F15"/>
    <x:mergeCell ref="A16:F18"/>
    <x:mergeCell ref="A20:F20"/>
    <x:mergeCell ref="A21:F2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52" hidden="0" customWidth="1"/>
  </x:cols>
  <x:sheetData>
    <x:row r="1">
      <x:c r="A1" s="29" t="str">
        <x:v>Indicator</x:v>
      </x:c>
      <x:c r="B1" s="29" t="str">
        <x:v>Formula</x:v>
      </x:c>
      <x:c r="C1" s="29" t="str">
        <x:v>Unit</x:v>
      </x:c>
      <x:c r="D1" s="29" t="str">
        <x:v>Interpretation / Caveat</x:v>
      </x:c>
    </x:row>
    <x:row r="2">
      <x:c r="A2" s="65" t="str">
        <x:v>TB Detection Rate</x:v>
      </x:c>
      <x:c r="B2" s="65" t="str">
        <x:v>Notified TB cases ÷ estimated incident TB cases</x:v>
      </x:c>
      <x:c r="C2" s="65" t="str">
        <x:v>%</x:v>
      </x:c>
      <x:c r="D2" s="65" t="str">
        <x:v>Shows notified cases relative to estimated incident cases; confirm national definition.</x:v>
      </x:c>
    </x:row>
    <x:row r="3">
      <x:c r="A3" s="65" t="str">
        <x:v>Malaria Incidence</x:v>
      </x:c>
      <x:c r="B3" s="65" t="str">
        <x:v>Confirmed malaria cases ÷ population × 1,000</x:v>
      </x:c>
      <x:c r="C3" s="65" t="str">
        <x:v>per 1,000</x:v>
      </x:c>
      <x:c r="D3" s="65" t="str">
        <x:v>Ensure cases and population refer to compatible geography and reporting period.</x:v>
      </x:c>
    </x:row>
    <x:row r="4">
      <x:c r="A4" s="65" t="str">
        <x:v>ART Coverage</x:v>
      </x:c>
      <x:c r="B4" s="65" t="str">
        <x:v>PLHIV on ART ÷ estimated PLHIV</x:v>
      </x:c>
      <x:c r="C4" s="65" t="str">
        <x:v>%</x:v>
      </x:c>
      <x:c r="D4" s="65" t="str">
        <x:v>Coverage depends on the quality of the PLHIV estimate and ART reporting.</x:v>
      </x:c>
    </x:row>
    <x:row r="5">
      <x:c r="A5" s="65" t="str">
        <x:v>HIV Incidence (15–24)</x:v>
      </x:c>
      <x:c r="B5" s="65" t="str">
        <x:v>New HIV infections age 15–24 ÷ population at risk age 15–24</x:v>
      </x:c>
      <x:c r="C5" s="65" t="str">
        <x:v>%</x:v>
      </x:c>
      <x:c r="D5" s="65" t="str">
        <x:v>Use the nationally approved numerator and population-at-risk denominator.</x:v>
      </x:c>
    </x:row>
  </x:sheetData>
  <x:pageMargins left="0.7" right="0.7" top="0.75" bottom="0.75" header="0.3" footer="0.3"/>
</x:worksheet>
</file>